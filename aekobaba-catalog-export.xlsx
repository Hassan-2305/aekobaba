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Price Breaks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Certifications" sheetId="7" state="visible" r:id="rId7"/>
    <sheet xmlns:r="http://schemas.openxmlformats.org/officeDocument/2006/relationships" name="Removed Suppliers" sheetId="8" state="visible" r:id="rId8"/>
  </sheets>
  <definedNames>
    <definedName name="_xlnm._FilterDatabase" localSheetId="1" hidden="1">'Suppliers'!$A$1:$N$18</definedName>
    <definedName name="_xlnm._FilterDatabase" localSheetId="2" hidden="1">'Products'!$A$1:$V$72</definedName>
    <definedName name="_xlnm._FilterDatabase" localSheetId="3" hidden="1">'Categories'!$A$1:$E$26</definedName>
    <definedName name="_xlnm._FilterDatabase" localSheetId="4" hidden="1">'Price Breaks'!$A$1:$G$15</definedName>
    <definedName name="_xlnm._FilterDatabase" localSheetId="5" hidden="1">'Reviews'!$A$1:$G$13</definedName>
    <definedName name="_xlnm._FilterDatabase" localSheetId="7" hidden="1">'Removed Suppliers'!$A$1:$E$24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"/>
  </numFmts>
  <fonts count="10">
    <font>
      <name val="Calibri"/>
      <family val="2"/>
      <color theme="1"/>
      <sz val="11"/>
      <scheme val="minor"/>
    </font>
    <font>
      <name val="Arial"/>
      <b val="1"/>
      <color rgb="00F4EFE4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i val="1"/>
      <color rgb="00626A73"/>
      <sz val="10"/>
    </font>
    <font>
      <name val="Arial"/>
      <b val="1"/>
      <sz val="11"/>
    </font>
    <font>
      <name val="Arial"/>
      <sz val="11"/>
    </font>
    <font>
      <name val="Arial"/>
      <b val="1"/>
      <color rgb="00111419"/>
      <sz val="10"/>
    </font>
    <font>
      <name val="Arial"/>
      <color rgb="00626A73"/>
      <sz val="10"/>
    </font>
  </fonts>
  <fills count="4">
    <fill>
      <patternFill/>
    </fill>
    <fill>
      <patternFill patternType="gray125"/>
    </fill>
    <fill>
      <patternFill patternType="solid">
        <fgColor rgb="001E252C"/>
      </patternFill>
    </fill>
    <fill>
      <patternFill patternType="solid">
        <fgColor rgb="00F0EB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erlinpackaging.com" TargetMode="External" Id="rId1"/><Relationship Type="http://schemas.openxmlformats.org/officeDocument/2006/relationships/hyperlink" Target="https://www.trustpilot.com/review/berlinpackaging.com" TargetMode="External" Id="rId2"/><Relationship Type="http://schemas.openxmlformats.org/officeDocument/2006/relationships/hyperlink" Target="https://www.bottlestore.com" TargetMode="External" Id="rId3"/><Relationship Type="http://schemas.openxmlformats.org/officeDocument/2006/relationships/hyperlink" Target="https://www.trustpilot.com/review/bottlestore.com" TargetMode="External" Id="rId4"/><Relationship Type="http://schemas.openxmlformats.org/officeDocument/2006/relationships/hyperlink" Target="https://www.boxup.com" TargetMode="External" Id="rId5"/><Relationship Type="http://schemas.openxmlformats.org/officeDocument/2006/relationships/hyperlink" Target="https://www.burchbottle.com" TargetMode="External" Id="rId6"/><Relationship Type="http://schemas.openxmlformats.org/officeDocument/2006/relationships/hyperlink" Target="https://www.trustpilot.com/review/www.burchbottle.com" TargetMode="External" Id="rId7"/><Relationship Type="http://schemas.openxmlformats.org/officeDocument/2006/relationships/hyperlink" Target="https://www.containerandpackaging.com" TargetMode="External" Id="rId8"/><Relationship Type="http://schemas.openxmlformats.org/officeDocument/2006/relationships/hyperlink" Target="https://www.trustpilot.com/review/www.containerandpackaging.com" TargetMode="External" Id="rId9"/><Relationship Type="http://schemas.openxmlformats.org/officeDocument/2006/relationships/hyperlink" Target="https://customboxesnow.com" TargetMode="External" Id="rId10"/><Relationship Type="http://schemas.openxmlformats.org/officeDocument/2006/relationships/hyperlink" Target="https://uk.trustpilot.com/review/customboxesnow.com" TargetMode="External" Id="rId11"/><Relationship Type="http://schemas.openxmlformats.org/officeDocument/2006/relationships/hyperlink" Target="https://www.ecoenclose.com" TargetMode="External" Id="rId12"/><Relationship Type="http://schemas.openxmlformats.org/officeDocument/2006/relationships/hyperlink" Target="https://www.trustpilot.com/review/ecoenclose.com" TargetMode="External" Id="rId13"/><Relationship Type="http://schemas.openxmlformats.org/officeDocument/2006/relationships/hyperlink" Target="https://www.packagingsupplies.com" TargetMode="External" Id="rId14"/><Relationship Type="http://schemas.openxmlformats.org/officeDocument/2006/relationships/hyperlink" Target="https://www.papermart.com" TargetMode="External" Id="rId15"/><Relationship Type="http://schemas.openxmlformats.org/officeDocument/2006/relationships/hyperlink" Target="https://www.trustpilot.com/review/www.papermart.com" TargetMode="External" Id="rId16"/><Relationship Type="http://schemas.openxmlformats.org/officeDocument/2006/relationships/hyperlink" Target="https://www.sks-bottle.com" TargetMode="External" Id="rId17"/><Relationship Type="http://schemas.openxmlformats.org/officeDocument/2006/relationships/hyperlink" Target="https://www.trustpilot.com/review/www.sks-bottle.com" TargetMode="External" Id="rId18"/><Relationship Type="http://schemas.openxmlformats.org/officeDocument/2006/relationships/hyperlink" Target="https://www.specialtybottle.com" TargetMode="External" Id="rId19"/><Relationship Type="http://schemas.openxmlformats.org/officeDocument/2006/relationships/hyperlink" Target="https://www.trustpilot.com/review/specialtybottle.com" TargetMode="External" Id="rId20"/><Relationship Type="http://schemas.openxmlformats.org/officeDocument/2006/relationships/hyperlink" Target="https://www.stickermule.com" TargetMode="External" Id="rId21"/><Relationship Type="http://schemas.openxmlformats.org/officeDocument/2006/relationships/hyperlink" Target="https://www.trustpilot.com/review/stickermule.com" TargetMode="External" Id="rId22"/><Relationship Type="http://schemas.openxmlformats.org/officeDocument/2006/relationships/hyperlink" Target="https://stickerapp.com" TargetMode="External" Id="rId23"/><Relationship Type="http://schemas.openxmlformats.org/officeDocument/2006/relationships/hyperlink" Target="https://www.trustpilot.com/review/stickerapp.com" TargetMode="External" Id="rId24"/><Relationship Type="http://schemas.openxmlformats.org/officeDocument/2006/relationships/hyperlink" Target="https://www.thepkglab.com" TargetMode="External" Id="rId25"/><Relationship Type="http://schemas.openxmlformats.org/officeDocument/2006/relationships/hyperlink" Target="https://www.tricorbraun.com" TargetMode="External" Id="rId26"/><Relationship Type="http://schemas.openxmlformats.org/officeDocument/2006/relationships/hyperlink" Target="https://www.trustpilot.com/review/tricorbraun.com" TargetMode="External" Id="rId27"/><Relationship Type="http://schemas.openxmlformats.org/officeDocument/2006/relationships/hyperlink" Target="https://epackagesupply.com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erlinpackaging.com/128-oz-clear-pet-plastic-wide-mouth-jars-cap-sold-separately-34398-b/" TargetMode="External" Id="rId1"/><Relationship Type="http://schemas.openxmlformats.org/officeDocument/2006/relationships/hyperlink" Target="https://www.berlinpackaging.com/2310b07wht-16-oz-clear-pet-plastic-spice-jars-white-cap/" TargetMode="External" Id="rId2"/><Relationship Type="http://schemas.openxmlformats.org/officeDocument/2006/relationships/hyperlink" Target="https://www.berlinpackaging.com/17-oz-clear-pet-plastic-honey-bear-bottles-cap-not-included-324050/" TargetMode="External" Id="rId3"/><Relationship Type="http://schemas.openxmlformats.org/officeDocument/2006/relationships/hyperlink" Target="https://www.berlinpackaging.com/3-5-oz-38-400-100-pct-pcr-aluminum-packer-bottle-337048/" TargetMode="External" Id="rId4"/><Relationship Type="http://schemas.openxmlformats.org/officeDocument/2006/relationships/hyperlink" Target="https://www.berlinpackaging.com/4-oz-clear-pet-plastic-spice-jar-black-cap-322420-k/" TargetMode="External" Id="rId5"/><Relationship Type="http://schemas.openxmlformats.org/officeDocument/2006/relationships/hyperlink" Target="https://www.berlinpackaging.com/4-oz-clear-pet-plastic-spice-jar-red-cap-322420-b/" TargetMode="External" Id="rId6"/><Relationship Type="http://schemas.openxmlformats.org/officeDocument/2006/relationships/hyperlink" Target="https://www.berlinpackaging.com/pet-plastic-wide-mouth-packer-bottles/" TargetMode="External" Id="rId7"/><Relationship Type="http://schemas.openxmlformats.org/officeDocument/2006/relationships/hyperlink" Target="https://www.berlinpackaging.com/33512-b-8-oz-clear-pet-plastic-honey-bear-bottles-cap-not-included/" TargetMode="External" Id="rId8"/><Relationship Type="http://schemas.openxmlformats.org/officeDocument/2006/relationships/hyperlink" Target="https://www.berlinpackaging.com/3351b09-b-8-oz-clear-pet-plastic-honey-bear-bottles-cap-not-included/" TargetMode="External" Id="rId9"/><Relationship Type="http://schemas.openxmlformats.org/officeDocument/2006/relationships/hyperlink" Target="https://www.berlinpackaging.com/33512-8-oz-clear-pet-plastic-honey-bear-bottles-flip-top-cap/" TargetMode="External" Id="rId10"/><Relationship Type="http://schemas.openxmlformats.org/officeDocument/2006/relationships/hyperlink" Target="https://www.berlinpackaging.com/3351b09-8-oz-clear-pet-plastic-honey-bear-bottles-yellow-flip-top-cap/" TargetMode="External" Id="rId11"/><Relationship Type="http://schemas.openxmlformats.org/officeDocument/2006/relationships/hyperlink" Target="https://www.berlinpackaging.com/2310b05wht-8-4-oz-clear-pet-spice-jars-white-cap/" TargetMode="External" Id="rId12"/><Relationship Type="http://schemas.openxmlformats.org/officeDocument/2006/relationships/hyperlink" Target="https://www.berlinpackaging.com/128-oz-clear-pet-plastic-wide-mouth-jars-cap-sold-separately-34398-b/" TargetMode="External" Id="rId13"/><Relationship Type="http://schemas.openxmlformats.org/officeDocument/2006/relationships/hyperlink" Target="https://www.bottlestore.com/16oz-amber-boston-round-glass-bottle-12-pack-28-400-neck.html" TargetMode="External" Id="rId14"/><Relationship Type="http://schemas.openxmlformats.org/officeDocument/2006/relationships/hyperlink" Target="https://www.bottlestore.com/2oz-flint-boston-round-glass-bottle-20-400-neck.html" TargetMode="External" Id="rId15"/><Relationship Type="http://schemas.openxmlformats.org/officeDocument/2006/relationships/hyperlink" Target="https://www.bottlestore.com/4oz-120ml-amber-boston-round-glass-bottle-22-405.html" TargetMode="External" Id="rId16"/><Relationship Type="http://schemas.openxmlformats.org/officeDocument/2006/relationships/hyperlink" Target="https://www.boxup.com/product/display-mailer-box" TargetMode="External" Id="rId17"/><Relationship Type="http://schemas.openxmlformats.org/officeDocument/2006/relationships/hyperlink" Target="https://www.boxup.com/product/top-open-gift-mailer-box" TargetMode="External" Id="rId18"/><Relationship Type="http://schemas.openxmlformats.org/officeDocument/2006/relationships/hyperlink" Target="https://www.boxup.com/product/display-mailer-box-sample" TargetMode="External" Id="rId19"/><Relationship Type="http://schemas.openxmlformats.org/officeDocument/2006/relationships/hyperlink" Target="https://www.burchbottle.com/2oz-Amber-Straight-Sided-Jar-53-400" TargetMode="External" Id="rId20"/><Relationship Type="http://schemas.openxmlformats.org/officeDocument/2006/relationships/hyperlink" Target="https://www.burchbottle.com/2oz-Amber-Straight-Sided-Jar-53-400" TargetMode="External" Id="rId21"/><Relationship Type="http://schemas.openxmlformats.org/officeDocument/2006/relationships/hyperlink" Target="https://www.burchbottle.com/8oz-Flint-Boston-Round-28-400-2" TargetMode="External" Id="rId22"/><Relationship Type="http://schemas.openxmlformats.org/officeDocument/2006/relationships/hyperlink" Target="https://www.containerandpackaging.com/catalog/metal-containers/deep-metal-tins/" TargetMode="External" Id="rId23"/><Relationship Type="http://schemas.openxmlformats.org/officeDocument/2006/relationships/hyperlink" Target="https://www.containerandpackaging.com/catalog/closures/droppers/" TargetMode="External" Id="rId24"/><Relationship Type="http://schemas.openxmlformats.org/officeDocument/2006/relationships/hyperlink" Target="https://www.containerandpackaging.com/catalog/glass-containers/glass-bottles/" TargetMode="External" Id="rId25"/><Relationship Type="http://schemas.openxmlformats.org/officeDocument/2006/relationships/hyperlink" Target="https://www.containerandpackaging.com/catalog/plastic-containers/plastic-bottles/" TargetMode="External" Id="rId26"/><Relationship Type="http://schemas.openxmlformats.org/officeDocument/2006/relationships/hyperlink" Target="https://www.containerandpackaging.com/catalog/plastic-containers/plastic-jars/" TargetMode="External" Id="rId27"/><Relationship Type="http://schemas.openxmlformats.org/officeDocument/2006/relationships/hyperlink" Target="https://customboxesnow.com/" TargetMode="External" Id="rId28"/><Relationship Type="http://schemas.openxmlformats.org/officeDocument/2006/relationships/hyperlink" Target="https://www.ecoenclose.com/shop/tissue-paper/" TargetMode="External" Id="rId29"/><Relationship Type="http://schemas.openxmlformats.org/officeDocument/2006/relationships/hyperlink" Target="https://www.ecoenclose.com/shop/tissue-paper/" TargetMode="External" Id="rId30"/><Relationship Type="http://schemas.openxmlformats.org/officeDocument/2006/relationships/hyperlink" Target="https://www.ecoenclose.com/shop/tissue-paper/" TargetMode="External" Id="rId31"/><Relationship Type="http://schemas.openxmlformats.org/officeDocument/2006/relationships/hyperlink" Target="https://www.packagingsupplies.com/" TargetMode="External" Id="rId32"/><Relationship Type="http://schemas.openxmlformats.org/officeDocument/2006/relationships/hyperlink" Target="https://www.packagingsupplies.com/" TargetMode="External" Id="rId33"/><Relationship Type="http://schemas.openxmlformats.org/officeDocument/2006/relationships/hyperlink" Target="https://www.packagingsupplies.com/" TargetMode="External" Id="rId34"/><Relationship Type="http://schemas.openxmlformats.org/officeDocument/2006/relationships/hyperlink" Target="https://www.papermart.com/" TargetMode="External" Id="rId35"/><Relationship Type="http://schemas.openxmlformats.org/officeDocument/2006/relationships/hyperlink" Target="https://www.papermart.com/" TargetMode="External" Id="rId36"/><Relationship Type="http://schemas.openxmlformats.org/officeDocument/2006/relationships/hyperlink" Target="https://www.papermart.com/" TargetMode="External" Id="rId37"/><Relationship Type="http://schemas.openxmlformats.org/officeDocument/2006/relationships/hyperlink" Target="https://www.sks-bottle.com/product/5655.html" TargetMode="External" Id="rId38"/><Relationship Type="http://schemas.openxmlformats.org/officeDocument/2006/relationships/hyperlink" Target="https://www.sks-bottle.com/product/7514.html" TargetMode="External" Id="rId39"/><Relationship Type="http://schemas.openxmlformats.org/officeDocument/2006/relationships/hyperlink" Target="https://www.sks-bottle.com/product/308247.html" TargetMode="External" Id="rId40"/><Relationship Type="http://schemas.openxmlformats.org/officeDocument/2006/relationships/hyperlink" Target="https://www.sks-bottle.com/product/295.html" TargetMode="External" Id="rId41"/><Relationship Type="http://schemas.openxmlformats.org/officeDocument/2006/relationships/hyperlink" Target="https://www.specialtybottle.com/glass-bottles/amber-boston-rounds/4oz-bra4" TargetMode="External" Id="rId42"/><Relationship Type="http://schemas.openxmlformats.org/officeDocument/2006/relationships/hyperlink" Target="https://www.specialtybottle.com/glass-bottles/amber-boston-rounds/silver-caps/4oz-bra4s" TargetMode="External" Id="rId43"/><Relationship Type="http://schemas.openxmlformats.org/officeDocument/2006/relationships/hyperlink" Target="https://www.specialtybottle.com/glass-bottles/amber-boston-rounds/4oz-bra4" TargetMode="External" Id="rId44"/><Relationship Type="http://schemas.openxmlformats.org/officeDocument/2006/relationships/hyperlink" Target="https://www.stickermule.com/products/die-cut-stickers" TargetMode="External" Id="rId45"/><Relationship Type="http://schemas.openxmlformats.org/officeDocument/2006/relationships/hyperlink" Target="https://www.stickermule.com/products/packaging-tape" TargetMode="External" Id="rId46"/><Relationship Type="http://schemas.openxmlformats.org/officeDocument/2006/relationships/hyperlink" Target="https://www.stickermule.com/products/stand-up-pouches" TargetMode="External" Id="rId47"/><Relationship Type="http://schemas.openxmlformats.org/officeDocument/2006/relationships/hyperlink" Target="https://stickerapp.com/pages/materials/vinyl-stickers" TargetMode="External" Id="rId48"/><Relationship Type="http://schemas.openxmlformats.org/officeDocument/2006/relationships/hyperlink" Target="https://www.thepkglab.com/p/30/custom-lay-flat-pouch" TargetMode="External" Id="rId49"/><Relationship Type="http://schemas.openxmlformats.org/officeDocument/2006/relationships/hyperlink" Target="https://www.thepkglab.com/p/32/custom-roll-stock-film" TargetMode="External" Id="rId50"/><Relationship Type="http://schemas.openxmlformats.org/officeDocument/2006/relationships/hyperlink" Target="https://www.thepkglab.com/p/26/the-packaging-lab-custom-stand-up-pouches" TargetMode="External" Id="rId51"/><Relationship Type="http://schemas.openxmlformats.org/officeDocument/2006/relationships/hyperlink" Target="https://www.tricorbraun.com/shop.html" TargetMode="External" Id="rId52"/><Relationship Type="http://schemas.openxmlformats.org/officeDocument/2006/relationships/hyperlink" Target="https://epackagesupply.com/products/5-gallon-bucket-bpa-free-food-grade-t40mw" TargetMode="External" Id="rId53"/><Relationship Type="http://schemas.openxmlformats.org/officeDocument/2006/relationships/hyperlink" Target="https://epackagesupply.com/" TargetMode="External" Id="rId54"/><Relationship Type="http://schemas.openxmlformats.org/officeDocument/2006/relationships/hyperlink" Target="https://epackagesupply.com/products/custom-5-gallon-bucket" TargetMode="External" Id="rId5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ustpilot.com/review/berlinpackaging.com" TargetMode="External" Id="rId1"/><Relationship Type="http://schemas.openxmlformats.org/officeDocument/2006/relationships/hyperlink" Target="https://www.trustpilot.com/review/bottlestore.com" TargetMode="External" Id="rId2"/><Relationship Type="http://schemas.openxmlformats.org/officeDocument/2006/relationships/hyperlink" Target="https://www.trustpilot.com/review/www.burchbottle.com" TargetMode="External" Id="rId3"/><Relationship Type="http://schemas.openxmlformats.org/officeDocument/2006/relationships/hyperlink" Target="https://www.trustpilot.com/review/www.containerandpackaging.com" TargetMode="External" Id="rId4"/><Relationship Type="http://schemas.openxmlformats.org/officeDocument/2006/relationships/hyperlink" Target="https://uk.trustpilot.com/review/customboxesnow.com" TargetMode="External" Id="rId5"/><Relationship Type="http://schemas.openxmlformats.org/officeDocument/2006/relationships/hyperlink" Target="https://www.trustpilot.com/review/ecoenclose.com" TargetMode="External" Id="rId6"/><Relationship Type="http://schemas.openxmlformats.org/officeDocument/2006/relationships/hyperlink" Target="https://www.trustpilot.com/review/www.papermart.com" TargetMode="External" Id="rId7"/><Relationship Type="http://schemas.openxmlformats.org/officeDocument/2006/relationships/hyperlink" Target="https://www.trustpilot.com/review/www.sks-bottle.com" TargetMode="External" Id="rId8"/><Relationship Type="http://schemas.openxmlformats.org/officeDocument/2006/relationships/hyperlink" Target="https://www.trustpilot.com/review/specialtybottle.com" TargetMode="External" Id="rId9"/><Relationship Type="http://schemas.openxmlformats.org/officeDocument/2006/relationships/hyperlink" Target="https://www.trustpilot.com/review/stickermule.com" TargetMode="External" Id="rId10"/><Relationship Type="http://schemas.openxmlformats.org/officeDocument/2006/relationships/hyperlink" Target="https://www.trustpilot.com/review/stickerapp.com" TargetMode="External" Id="rId11"/><Relationship Type="http://schemas.openxmlformats.org/officeDocument/2006/relationships/hyperlink" Target="https://www.trustpilot.com/review/tricorbraun.com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s://bowepack.com" TargetMode="External" Id="rId1"/><Relationship Type="http://schemas.openxmlformats.org/officeDocument/2006/relationships/hyperlink" Target="https://www.cxpack.com" TargetMode="External" Id="rId2"/><Relationship Type="http://schemas.openxmlformats.org/officeDocument/2006/relationships/hyperlink" Target="https://www.cambay.co.in" TargetMode="External" Id="rId3"/><Relationship Type="http://schemas.openxmlformats.org/officeDocument/2006/relationships/hyperlink" Target="https://www.yunfengpackaging.com" TargetMode="External" Id="rId4"/><Relationship Type="http://schemas.openxmlformats.org/officeDocument/2006/relationships/hyperlink" Target="https://www.cartonservice.fr" TargetMode="External" Id="rId5"/><Relationship Type="http://schemas.openxmlformats.org/officeDocument/2006/relationships/hyperlink" Target="https://www.davpack.co.uk" TargetMode="External" Id="rId6"/><Relationship Type="http://schemas.openxmlformats.org/officeDocument/2006/relationships/hyperlink" Target="https://dinolabeldigital.com" TargetMode="External" Id="rId7"/><Relationship Type="http://schemas.openxmlformats.org/officeDocument/2006/relationships/hyperlink" Target="https://glorytins.com" TargetMode="External" Id="rId8"/><Relationship Type="http://schemas.openxmlformats.org/officeDocument/2006/relationships/hyperlink" Target="https://www.kitepackaging.co.uk" TargetMode="External" Id="rId9"/><Relationship Type="http://schemas.openxmlformats.org/officeDocument/2006/relationships/hyperlink" Target="https://lilpackaging.com" TargetMode="External" Id="rId10"/><Relationship Type="http://schemas.openxmlformats.org/officeDocument/2006/relationships/hyperlink" Target="https://www.macfarlanepackaging.com" TargetMode="External" Id="rId11"/><Relationship Type="http://schemas.openxmlformats.org/officeDocument/2006/relationships/hyperlink" Target="https://maruthiplastics.in" TargetMode="External" Id="rId12"/><Relationship Type="http://schemas.openxmlformats.org/officeDocument/2006/relationships/hyperlink" Target="https://packhelp.com" TargetMode="External" Id="rId13"/><Relationship Type="http://schemas.openxmlformats.org/officeDocument/2006/relationships/hyperlink" Target="https://packiro.com/en" TargetMode="External" Id="rId14"/><Relationship Type="http://schemas.openxmlformats.org/officeDocument/2006/relationships/hyperlink" Target="https://www.paharpur3p.com" TargetMode="External" Id="rId15"/><Relationship Type="http://schemas.openxmlformats.org/officeDocument/2006/relationships/hyperlink" Target="https://www.polybags.co.uk" TargetMode="External" Id="rId16"/><Relationship Type="http://schemas.openxmlformats.org/officeDocument/2006/relationships/hyperlink" Target="https://www.reuseabox.co.uk" TargetMode="External" Id="rId17"/><Relationship Type="http://schemas.openxmlformats.org/officeDocument/2006/relationships/hyperlink" Target="https://www.swisspack.co.in" TargetMode="External" Id="rId18"/><Relationship Type="http://schemas.openxmlformats.org/officeDocument/2006/relationships/hyperlink" Target="https://www.tcpl.in" TargetMode="External" Id="rId19"/><Relationship Type="http://schemas.openxmlformats.org/officeDocument/2006/relationships/hyperlink" Target="https://www.transpack.co.uk" TargetMode="External" Id="rId20"/><Relationship Type="http://schemas.openxmlformats.org/officeDocument/2006/relationships/hyperlink" Target="https://www.uflexltd.com" TargetMode="External" Id="rId21"/><Relationship Type="http://schemas.openxmlformats.org/officeDocument/2006/relationships/hyperlink" Target="https://webshop.viv.nl" TargetMode="External" Id="rId22"/><Relationship Type="http://schemas.openxmlformats.org/officeDocument/2006/relationships/hyperlink" Target="https://www.verpacking.com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Aekobaba — live catalog export</t>
        </is>
      </c>
    </row>
    <row r="2">
      <c r="A2" s="2" t="inlineStr">
        <is>
          <t>Exported 2026-10-12 14:24 UTC from the production database (read-only).</t>
        </is>
      </c>
    </row>
    <row r="4">
      <c r="A4" s="3" t="inlineStr">
        <is>
          <t>Suppliers on the website</t>
        </is>
      </c>
      <c r="B4" s="4">
        <f>COUNTA(Suppliers!A:A)-1</f>
        <v/>
      </c>
    </row>
    <row r="5">
      <c r="A5" s="4" t="inlineStr">
        <is>
          <t xml:space="preserve">  of which partners</t>
        </is>
      </c>
      <c r="B5" s="4">
        <f>COUNTIF(Suppliers!C:C,"Yes")</f>
        <v/>
      </c>
    </row>
    <row r="6">
      <c r="A6" s="4" t="inlineStr">
        <is>
          <t xml:space="preserve">  Recommended</t>
        </is>
      </c>
      <c r="B6" s="4">
        <f>COUNTIF(Suppliers!D:D,"Recommended")</f>
        <v/>
      </c>
    </row>
    <row r="7">
      <c r="A7" s="4" t="inlineStr">
        <is>
          <t xml:space="preserve">  Listed</t>
        </is>
      </c>
      <c r="B7" s="4">
        <f>COUNTIF(Suppliers!D:D,"Listed")</f>
        <v/>
      </c>
    </row>
    <row r="8">
      <c r="A8" s="4" t="inlineStr">
        <is>
          <t xml:space="preserve">  Quote only</t>
        </is>
      </c>
      <c r="B8" s="4">
        <f>COUNTIF(Suppliers!D:D,"Quote only")</f>
        <v/>
      </c>
    </row>
    <row r="9">
      <c r="A9" s="3" t="inlineStr">
        <is>
          <t>Products on the website</t>
        </is>
      </c>
      <c r="B9" s="4">
        <f>COUNTA(Products!A:A)-1</f>
        <v/>
      </c>
    </row>
    <row r="10">
      <c r="A10" s="4" t="inlineStr">
        <is>
          <t xml:space="preserve">  from partners</t>
        </is>
      </c>
      <c r="B10" s="4">
        <f>COUNTIF(Products!D:D,"Yes")</f>
        <v/>
      </c>
    </row>
    <row r="11">
      <c r="A11" s="4" t="inlineStr">
        <is>
          <t xml:space="preserve">  with a published price</t>
        </is>
      </c>
      <c r="B11" s="4">
        <f>COUNT(Products!J:J)</f>
        <v/>
      </c>
    </row>
    <row r="12">
      <c r="A12" s="4" t="inlineStr">
        <is>
          <t xml:space="preserve">  with a published MOQ</t>
        </is>
      </c>
      <c r="B12" s="4">
        <f>COUNT(Products!N:N)</f>
        <v/>
      </c>
    </row>
    <row r="13">
      <c r="A13" s="4" t="inlineStr">
        <is>
          <t xml:space="preserve">  with a published lead time</t>
        </is>
      </c>
      <c r="B13" s="4">
        <f>COUNT(Products!P:P)</f>
        <v/>
      </c>
    </row>
    <row r="14">
      <c r="A14" s="3" t="inlineStr">
        <is>
          <t>Categories with listings</t>
        </is>
      </c>
      <c r="B14" s="4">
        <f>COUNTIF(Categories!D:D,"&gt;0")</f>
        <v/>
      </c>
    </row>
    <row r="15">
      <c r="A15" s="3" t="inlineStr">
        <is>
          <t>Categories (total)</t>
        </is>
      </c>
      <c r="B15" s="4">
        <f>COUNTA(Categories!A:A)-1</f>
        <v/>
      </c>
    </row>
    <row r="16">
      <c r="A16" s="3" t="inlineStr">
        <is>
          <t>Removed suppliers (hidden, still in database)</t>
        </is>
      </c>
      <c r="B16" s="4">
        <f>COUNTA('Removed Suppliers'!A:A)-1</f>
        <v/>
      </c>
    </row>
    <row r="18">
      <c r="A18" s="5" t="inlineStr">
        <is>
          <t>Notes</t>
        </is>
      </c>
    </row>
    <row r="19">
      <c r="A19" s="6" t="inlineStr">
        <is>
          <t>Suppliers / Products / Categories / Price Breaks / Reviews / Certifications: only what the website shows (removed suppliers excluded).</t>
        </is>
      </c>
    </row>
    <row r="20">
      <c r="A20" s="6" t="inlineStr">
        <is>
          <t>Partner rows are shaded. Prices are in the currency the supplier publishes (see Currency); 'Ask the supplier' = no published price.</t>
        </is>
      </c>
    </row>
    <row r="21">
      <c r="A21" s="6" t="inlineStr">
        <is>
          <t>Not included: buyer inquiries, quote requests and user accounts — they hold personal contact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9" customWidth="1" min="3" max="3"/>
    <col width="13" customWidth="1" min="4" max="4"/>
    <col width="30" customWidth="1" min="5" max="5"/>
    <col width="34" customWidth="1" min="6" max="6"/>
    <col width="10" customWidth="1" min="7" max="7"/>
    <col width="8" customWidth="1" min="8" max="8"/>
    <col width="10" customWidth="1" min="9" max="9"/>
    <col width="12" customWidth="1" min="10" max="10"/>
    <col width="44" customWidth="1" min="11" max="11"/>
    <col width="22" customWidth="1" min="12" max="12"/>
    <col width="22" customWidth="1" min="13" max="13"/>
    <col width="13" customWidth="1" min="14" max="14"/>
  </cols>
  <sheetData>
    <row r="1" ht="30" customHeight="1">
      <c r="A1" s="7" t="inlineStr">
        <is>
          <t>Supplier</t>
        </is>
      </c>
      <c r="B1" s="7" t="inlineStr">
        <is>
          <t>Slug</t>
        </is>
      </c>
      <c r="C1" s="7" t="inlineStr">
        <is>
          <t>Partner</t>
        </is>
      </c>
      <c r="D1" s="7" t="inlineStr">
        <is>
          <t>Tier</t>
        </is>
      </c>
      <c r="E1" s="7" t="inlineStr">
        <is>
          <t>Location</t>
        </is>
      </c>
      <c r="F1" s="7" t="inlineStr">
        <is>
          <t>Website</t>
        </is>
      </c>
      <c r="G1" s="7" t="inlineStr">
        <is>
          <t>Listings on site</t>
        </is>
      </c>
      <c r="H1" s="7" t="inlineStr">
        <is>
          <t>Rating</t>
        </is>
      </c>
      <c r="I1" s="7" t="inlineStr">
        <is>
          <t>Rating count</t>
        </is>
      </c>
      <c r="J1" s="7" t="inlineStr">
        <is>
          <t>Rating platform</t>
        </is>
      </c>
      <c r="K1" s="7" t="inlineStr">
        <is>
          <t>Rating page</t>
        </is>
      </c>
      <c r="L1" s="7" t="inlineStr">
        <is>
          <t>Certifications</t>
        </is>
      </c>
      <c r="M1" s="7" t="inlineStr">
        <is>
          <t>Legal identity</t>
        </is>
      </c>
      <c r="N1" s="7" t="inlineStr">
        <is>
          <t>Last verified</t>
        </is>
      </c>
    </row>
    <row r="2">
      <c r="A2" s="8" t="inlineStr">
        <is>
          <t>Berlin Packaging</t>
        </is>
      </c>
      <c r="B2" s="8" t="inlineStr">
        <is>
          <t>berlin-packaging</t>
        </is>
      </c>
      <c r="C2" s="8" t="inlineStr">
        <is>
          <t>Yes</t>
        </is>
      </c>
      <c r="D2" s="8" t="inlineStr">
        <is>
          <t>Listed</t>
        </is>
      </c>
      <c r="E2" s="8" t="inlineStr">
        <is>
          <t>US (Chicago, IL); 100+ locations worldwide</t>
        </is>
      </c>
      <c r="F2" s="9" t="inlineStr">
        <is>
          <t>https://www.berlinpackaging.com</t>
        </is>
      </c>
      <c r="G2" s="8">
        <f>COUNTIF(Products!$C:$C,A2)</f>
        <v/>
      </c>
      <c r="H2" s="8" t="n">
        <v>4.4</v>
      </c>
      <c r="I2" s="8" t="n">
        <v>4779</v>
      </c>
      <c r="J2" s="8" t="inlineStr">
        <is>
          <t>Trustpilot</t>
        </is>
      </c>
      <c r="K2" s="9" t="inlineStr">
        <is>
          <t>https://www.trustpilot.com/review/berlinpackaging.com</t>
        </is>
      </c>
      <c r="L2" s="8" t="n"/>
      <c r="M2" s="8" t="n"/>
      <c r="N2" s="8" t="inlineStr">
        <is>
          <t>2026-10-03</t>
        </is>
      </c>
    </row>
    <row r="3">
      <c r="A3" s="8" t="inlineStr">
        <is>
          <t>Daehung Pack</t>
        </is>
      </c>
      <c r="B3" s="8" t="inlineStr">
        <is>
          <t>daehung-pack</t>
        </is>
      </c>
      <c r="C3" s="8" t="inlineStr">
        <is>
          <t>Yes</t>
        </is>
      </c>
      <c r="D3" s="8" t="inlineStr">
        <is>
          <t>Quote only</t>
        </is>
      </c>
      <c r="E3" s="8" t="inlineStr">
        <is>
          <t>China (Southern China)</t>
        </is>
      </c>
      <c r="F3" s="8" t="inlineStr">
        <is>
          <t>No website published</t>
        </is>
      </c>
      <c r="G3" s="8">
        <f>COUNTIF(Products!$C:$C,A3)</f>
        <v/>
      </c>
      <c r="H3" s="8" t="n"/>
      <c r="I3" s="8" t="n"/>
      <c r="J3" s="8" t="n"/>
      <c r="K3" s="8" t="n"/>
      <c r="L3" s="8" t="n"/>
      <c r="M3" s="8" t="n"/>
      <c r="N3" s="8" t="inlineStr">
        <is>
          <t>2026-10-10</t>
        </is>
      </c>
    </row>
    <row r="4">
      <c r="A4" s="10" t="inlineStr">
        <is>
          <t>BottleStore.com (O.Berk Company)</t>
        </is>
      </c>
      <c r="B4" s="10" t="inlineStr">
        <is>
          <t>bottlestore-com</t>
        </is>
      </c>
      <c r="C4" s="10" t="inlineStr">
        <is>
          <t>No</t>
        </is>
      </c>
      <c r="D4" s="10" t="inlineStr">
        <is>
          <t>Recommended</t>
        </is>
      </c>
      <c r="E4" s="10" t="inlineStr">
        <is>
          <t>US</t>
        </is>
      </c>
      <c r="F4" s="11" t="inlineStr">
        <is>
          <t>https://www.bottlestore.com</t>
        </is>
      </c>
      <c r="G4" s="10">
        <f>COUNTIF(Products!$C:$C,A4)</f>
        <v/>
      </c>
      <c r="H4" s="10" t="n">
        <v>4.4</v>
      </c>
      <c r="I4" s="10" t="n">
        <v>3503</v>
      </c>
      <c r="J4" s="10" t="inlineStr">
        <is>
          <t>Trustpilot</t>
        </is>
      </c>
      <c r="K4" s="11" t="inlineStr">
        <is>
          <t>https://www.trustpilot.com/review/bottlestore.com</t>
        </is>
      </c>
      <c r="L4" s="10" t="n"/>
      <c r="M4" s="10" t="inlineStr">
        <is>
          <t>O.Berk Company (parent, founded 1910)</t>
        </is>
      </c>
      <c r="N4" s="10" t="inlineStr">
        <is>
          <t>2026-09-21</t>
        </is>
      </c>
    </row>
    <row r="5">
      <c r="A5" s="10" t="inlineStr">
        <is>
          <t>BoxUp</t>
        </is>
      </c>
      <c r="B5" s="10" t="inlineStr">
        <is>
          <t>boxup</t>
        </is>
      </c>
      <c r="C5" s="10" t="inlineStr">
        <is>
          <t>No</t>
        </is>
      </c>
      <c r="D5" s="10" t="inlineStr">
        <is>
          <t>Listed</t>
        </is>
      </c>
      <c r="E5" s="10" t="inlineStr">
        <is>
          <t>US</t>
        </is>
      </c>
      <c r="F5" s="11" t="inlineStr">
        <is>
          <t>https://www.boxup.com</t>
        </is>
      </c>
      <c r="G5" s="10">
        <f>COUNTIF(Products!$C:$C,A5)</f>
        <v/>
      </c>
      <c r="H5" s="10" t="n"/>
      <c r="I5" s="10" t="n"/>
      <c r="J5" s="10" t="n"/>
      <c r="K5" s="10" t="n"/>
      <c r="L5" s="10" t="n"/>
      <c r="M5" s="10" t="n"/>
      <c r="N5" s="10" t="inlineStr">
        <is>
          <t>2026-09-21</t>
        </is>
      </c>
    </row>
    <row r="6">
      <c r="A6" s="10" t="inlineStr">
        <is>
          <t>Burch Bottle &amp; Packaging, Inc.</t>
        </is>
      </c>
      <c r="B6" s="10" t="inlineStr">
        <is>
          <t>burch-bottle</t>
        </is>
      </c>
      <c r="C6" s="10" t="inlineStr">
        <is>
          <t>No</t>
        </is>
      </c>
      <c r="D6" s="10" t="inlineStr">
        <is>
          <t>Recommended</t>
        </is>
      </c>
      <c r="E6" s="10" t="inlineStr">
        <is>
          <t>US</t>
        </is>
      </c>
      <c r="F6" s="11" t="inlineStr">
        <is>
          <t>https://www.burchbottle.com</t>
        </is>
      </c>
      <c r="G6" s="10">
        <f>COUNTIF(Products!$C:$C,A6)</f>
        <v/>
      </c>
      <c r="H6" s="10" t="n">
        <v>4.8</v>
      </c>
      <c r="I6" s="10" t="n">
        <v>2257</v>
      </c>
      <c r="J6" s="10" t="inlineStr">
        <is>
          <t>Trustpilot</t>
        </is>
      </c>
      <c r="K6" s="11" t="inlineStr">
        <is>
          <t>https://www.trustpilot.com/review/www.burchbottle.com</t>
        </is>
      </c>
      <c r="L6" s="10" t="n"/>
      <c r="M6" s="10" t="inlineStr">
        <is>
          <t>Burch Bottle &amp; Packaging, Inc.</t>
        </is>
      </c>
      <c r="N6" s="10" t="inlineStr">
        <is>
          <t>2026-09-21</t>
        </is>
      </c>
    </row>
    <row r="7">
      <c r="A7" s="10" t="inlineStr">
        <is>
          <t>Container &amp; Packaging</t>
        </is>
      </c>
      <c r="B7" s="10" t="inlineStr">
        <is>
          <t>container-and-packaging</t>
        </is>
      </c>
      <c r="C7" s="10" t="inlineStr">
        <is>
          <t>No</t>
        </is>
      </c>
      <c r="D7" s="10" t="inlineStr">
        <is>
          <t>Quote only</t>
        </is>
      </c>
      <c r="E7" s="10" t="inlineStr">
        <is>
          <t>US (Boise, ID)</t>
        </is>
      </c>
      <c r="F7" s="11" t="inlineStr">
        <is>
          <t>https://www.containerandpackaging.com</t>
        </is>
      </c>
      <c r="G7" s="10">
        <f>COUNTIF(Products!$C:$C,A7)</f>
        <v/>
      </c>
      <c r="H7" s="10" t="n">
        <v>4.8</v>
      </c>
      <c r="I7" s="10" t="n">
        <v>396</v>
      </c>
      <c r="J7" s="10" t="inlineStr">
        <is>
          <t>Trustpilot</t>
        </is>
      </c>
      <c r="K7" s="11" t="inlineStr">
        <is>
          <t>https://www.trustpilot.com/review/www.containerandpackaging.com</t>
        </is>
      </c>
      <c r="L7" s="10" t="n"/>
      <c r="M7" s="10" t="n"/>
      <c r="N7" s="10" t="inlineStr">
        <is>
          <t>2026-10-06</t>
        </is>
      </c>
    </row>
    <row r="8">
      <c r="A8" s="10" t="inlineStr">
        <is>
          <t>Custom Boxes Now</t>
        </is>
      </c>
      <c r="B8" s="10" t="inlineStr">
        <is>
          <t>custom-boxes-now</t>
        </is>
      </c>
      <c r="C8" s="10" t="inlineStr">
        <is>
          <t>No</t>
        </is>
      </c>
      <c r="D8" s="10" t="inlineStr">
        <is>
          <t>Listed</t>
        </is>
      </c>
      <c r="E8" s="10" t="inlineStr">
        <is>
          <t>US</t>
        </is>
      </c>
      <c r="F8" s="11" t="inlineStr">
        <is>
          <t>https://customboxesnow.com</t>
        </is>
      </c>
      <c r="G8" s="10">
        <f>COUNTIF(Products!$C:$C,A8)</f>
        <v/>
      </c>
      <c r="H8" s="10" t="n">
        <v>4.8</v>
      </c>
      <c r="I8" s="10" t="n">
        <v>183</v>
      </c>
      <c r="J8" s="10" t="inlineStr">
        <is>
          <t>Trustpilot</t>
        </is>
      </c>
      <c r="K8" s="11" t="inlineStr">
        <is>
          <t>https://uk.trustpilot.com/review/customboxesnow.com</t>
        </is>
      </c>
      <c r="L8" s="10" t="n"/>
      <c r="M8" s="10" t="n"/>
      <c r="N8" s="10" t="inlineStr">
        <is>
          <t>2026-09-21</t>
        </is>
      </c>
    </row>
    <row r="9">
      <c r="A9" s="10" t="inlineStr">
        <is>
          <t>EcoEnclose</t>
        </is>
      </c>
      <c r="B9" s="10" t="inlineStr">
        <is>
          <t>ecoenclose</t>
        </is>
      </c>
      <c r="C9" s="10" t="inlineStr">
        <is>
          <t>No</t>
        </is>
      </c>
      <c r="D9" s="10" t="inlineStr">
        <is>
          <t>Recommended</t>
        </is>
      </c>
      <c r="E9" s="10" t="inlineStr">
        <is>
          <t>US</t>
        </is>
      </c>
      <c r="F9" s="11" t="inlineStr">
        <is>
          <t>https://www.ecoenclose.com</t>
        </is>
      </c>
      <c r="G9" s="10">
        <f>COUNTIF(Products!$C:$C,A9)</f>
        <v/>
      </c>
      <c r="H9" s="10" t="n">
        <v>4.5</v>
      </c>
      <c r="I9" s="10" t="n">
        <v>61</v>
      </c>
      <c r="J9" s="10" t="inlineStr">
        <is>
          <t>Trustpilot</t>
        </is>
      </c>
      <c r="K9" s="11" t="inlineStr">
        <is>
          <t>https://www.trustpilot.com/review/ecoenclose.com</t>
        </is>
      </c>
      <c r="L9" s="10" t="n"/>
      <c r="M9" s="10" t="n"/>
      <c r="N9" s="10" t="inlineStr">
        <is>
          <t>2026-09-21</t>
        </is>
      </c>
    </row>
    <row r="10">
      <c r="A10" s="10" t="inlineStr">
        <is>
          <t>PackagingSupplies.com</t>
        </is>
      </c>
      <c r="B10" s="10" t="inlineStr">
        <is>
          <t>packagingsupplies-com</t>
        </is>
      </c>
      <c r="C10" s="10" t="inlineStr">
        <is>
          <t>No</t>
        </is>
      </c>
      <c r="D10" s="10" t="inlineStr">
        <is>
          <t>Listed</t>
        </is>
      </c>
      <c r="E10" s="10" t="inlineStr">
        <is>
          <t>US</t>
        </is>
      </c>
      <c r="F10" s="11" t="inlineStr">
        <is>
          <t>https://www.packagingsupplies.com</t>
        </is>
      </c>
      <c r="G10" s="10">
        <f>COUNTIF(Products!$C:$C,A10)</f>
        <v/>
      </c>
      <c r="H10" s="10" t="n"/>
      <c r="I10" s="10" t="n"/>
      <c r="J10" s="10" t="n"/>
      <c r="K10" s="10" t="n"/>
      <c r="L10" s="10" t="n"/>
      <c r="M10" s="10" t="inlineStr">
        <is>
          <t>Division of Cleveland Packaging, Inc.</t>
        </is>
      </c>
      <c r="N10" s="10" t="inlineStr">
        <is>
          <t>2026-09-21</t>
        </is>
      </c>
    </row>
    <row r="11">
      <c r="A11" s="10" t="inlineStr">
        <is>
          <t>Paper Mart</t>
        </is>
      </c>
      <c r="B11" s="10" t="inlineStr">
        <is>
          <t>paper-mart</t>
        </is>
      </c>
      <c r="C11" s="10" t="inlineStr">
        <is>
          <t>No</t>
        </is>
      </c>
      <c r="D11" s="10" t="inlineStr">
        <is>
          <t>Recommended</t>
        </is>
      </c>
      <c r="E11" s="10" t="inlineStr">
        <is>
          <t>US</t>
        </is>
      </c>
      <c r="F11" s="11" t="inlineStr">
        <is>
          <t>https://www.papermart.com</t>
        </is>
      </c>
      <c r="G11" s="10">
        <f>COUNTIF(Products!$C:$C,A11)</f>
        <v/>
      </c>
      <c r="H11" s="10" t="n">
        <v>4.7</v>
      </c>
      <c r="I11" s="10" t="n">
        <v>9621</v>
      </c>
      <c r="J11" s="10" t="inlineStr">
        <is>
          <t>Trustpilot</t>
        </is>
      </c>
      <c r="K11" s="11" t="inlineStr">
        <is>
          <t>https://www.trustpilot.com/review/www.papermart.com</t>
        </is>
      </c>
      <c r="L11" s="10" t="n"/>
      <c r="M11" s="10" t="n"/>
      <c r="N11" s="10" t="inlineStr">
        <is>
          <t>2026-09-21</t>
        </is>
      </c>
    </row>
    <row r="12">
      <c r="A12" s="10" t="inlineStr">
        <is>
          <t>SKS Bottle &amp; Packaging</t>
        </is>
      </c>
      <c r="B12" s="10" t="inlineStr">
        <is>
          <t>sks-bottle</t>
        </is>
      </c>
      <c r="C12" s="10" t="inlineStr">
        <is>
          <t>No</t>
        </is>
      </c>
      <c r="D12" s="10" t="inlineStr">
        <is>
          <t>Listed</t>
        </is>
      </c>
      <c r="E12" s="10" t="inlineStr">
        <is>
          <t>US</t>
        </is>
      </c>
      <c r="F12" s="11" t="inlineStr">
        <is>
          <t>https://www.sks-bottle.com</t>
        </is>
      </c>
      <c r="G12" s="10">
        <f>COUNTIF(Products!$C:$C,A12)</f>
        <v/>
      </c>
      <c r="H12" s="10" t="n">
        <v>4.3</v>
      </c>
      <c r="I12" s="10" t="n">
        <v>3933</v>
      </c>
      <c r="J12" s="10" t="inlineStr">
        <is>
          <t>Trustpilot</t>
        </is>
      </c>
      <c r="K12" s="11" t="inlineStr">
        <is>
          <t>https://www.trustpilot.com/review/www.sks-bottle.com</t>
        </is>
      </c>
      <c r="L12" s="10" t="n"/>
      <c r="M12" s="10" t="n"/>
      <c r="N12" s="10" t="inlineStr">
        <is>
          <t>2026-09-18</t>
        </is>
      </c>
    </row>
    <row r="13">
      <c r="A13" s="10" t="inlineStr">
        <is>
          <t>Specialty Bottle</t>
        </is>
      </c>
      <c r="B13" s="10" t="inlineStr">
        <is>
          <t>specialty-bottle</t>
        </is>
      </c>
      <c r="C13" s="10" t="inlineStr">
        <is>
          <t>No</t>
        </is>
      </c>
      <c r="D13" s="10" t="inlineStr">
        <is>
          <t>Listed</t>
        </is>
      </c>
      <c r="E13" s="10" t="inlineStr">
        <is>
          <t>US</t>
        </is>
      </c>
      <c r="F13" s="11" t="inlineStr">
        <is>
          <t>https://www.specialtybottle.com</t>
        </is>
      </c>
      <c r="G13" s="10">
        <f>COUNTIF(Products!$C:$C,A13)</f>
        <v/>
      </c>
      <c r="H13" s="10" t="n">
        <v>3.8</v>
      </c>
      <c r="I13" s="10" t="n">
        <v>9</v>
      </c>
      <c r="J13" s="10" t="inlineStr">
        <is>
          <t>Trustpilot</t>
        </is>
      </c>
      <c r="K13" s="11" t="inlineStr">
        <is>
          <t>https://www.trustpilot.com/review/specialtybottle.com</t>
        </is>
      </c>
      <c r="L13" s="10" t="n"/>
      <c r="M13" s="10" t="inlineStr">
        <is>
          <t>Specialty Bottle Supply, LLC</t>
        </is>
      </c>
      <c r="N13" s="10" t="inlineStr">
        <is>
          <t>2026-09-21</t>
        </is>
      </c>
    </row>
    <row r="14">
      <c r="A14" s="10" t="inlineStr">
        <is>
          <t>Sticker Mule</t>
        </is>
      </c>
      <c r="B14" s="10" t="inlineStr">
        <is>
          <t>sticker-mule</t>
        </is>
      </c>
      <c r="C14" s="10" t="inlineStr">
        <is>
          <t>No</t>
        </is>
      </c>
      <c r="D14" s="10" t="inlineStr">
        <is>
          <t>Recommended</t>
        </is>
      </c>
      <c r="E14" s="10" t="inlineStr">
        <is>
          <t>US</t>
        </is>
      </c>
      <c r="F14" s="11" t="inlineStr">
        <is>
          <t>https://www.stickermule.com</t>
        </is>
      </c>
      <c r="G14" s="10">
        <f>COUNTIF(Products!$C:$C,A14)</f>
        <v/>
      </c>
      <c r="H14" s="10" t="n">
        <v>4.7</v>
      </c>
      <c r="I14" s="10" t="n">
        <v>43782</v>
      </c>
      <c r="J14" s="10" t="inlineStr">
        <is>
          <t>Trustpilot</t>
        </is>
      </c>
      <c r="K14" s="11" t="inlineStr">
        <is>
          <t>https://www.trustpilot.com/review/stickermule.com</t>
        </is>
      </c>
      <c r="L14" s="10" t="n"/>
      <c r="M14" s="10" t="n"/>
      <c r="N14" s="10" t="inlineStr">
        <is>
          <t>2026-09-21</t>
        </is>
      </c>
    </row>
    <row r="15">
      <c r="A15" s="10" t="inlineStr">
        <is>
          <t>StickerApp</t>
        </is>
      </c>
      <c r="B15" s="10" t="inlineStr">
        <is>
          <t>stickerapp</t>
        </is>
      </c>
      <c r="C15" s="10" t="inlineStr">
        <is>
          <t>No</t>
        </is>
      </c>
      <c r="D15" s="10" t="inlineStr">
        <is>
          <t>Listed</t>
        </is>
      </c>
      <c r="E15" s="10" t="inlineStr">
        <is>
          <t>US / EU (Sweden)</t>
        </is>
      </c>
      <c r="F15" s="11" t="inlineStr">
        <is>
          <t>https://stickerapp.com</t>
        </is>
      </c>
      <c r="G15" s="10">
        <f>COUNTIF(Products!$C:$C,A15)</f>
        <v/>
      </c>
      <c r="H15" s="10" t="n">
        <v>4.7</v>
      </c>
      <c r="I15" s="10" t="n">
        <v>20284</v>
      </c>
      <c r="J15" s="10" t="inlineStr">
        <is>
          <t>Trustpilot</t>
        </is>
      </c>
      <c r="K15" s="11" t="inlineStr">
        <is>
          <t>https://www.trustpilot.com/review/stickerapp.com</t>
        </is>
      </c>
      <c r="L15" s="10" t="n"/>
      <c r="M15" s="10" t="inlineStr">
        <is>
          <t>StickerApp Inc. (US operations, Annapolis MD); Swedish parent (Lomma, Sweden)</t>
        </is>
      </c>
      <c r="N15" s="10" t="inlineStr">
        <is>
          <t>2026-09-21</t>
        </is>
      </c>
    </row>
    <row r="16">
      <c r="A16" s="10" t="inlineStr">
        <is>
          <t>The Packaging Lab</t>
        </is>
      </c>
      <c r="B16" s="10" t="inlineStr">
        <is>
          <t>the-packaging-lab</t>
        </is>
      </c>
      <c r="C16" s="10" t="inlineStr">
        <is>
          <t>No</t>
        </is>
      </c>
      <c r="D16" s="10" t="inlineStr">
        <is>
          <t>Quote only</t>
        </is>
      </c>
      <c r="E16" s="10" t="inlineStr">
        <is>
          <t>US (Brooklyn Park, MN)</t>
        </is>
      </c>
      <c r="F16" s="11" t="inlineStr">
        <is>
          <t>https://www.thepkglab.com</t>
        </is>
      </c>
      <c r="G16" s="10">
        <f>COUNTIF(Products!$C:$C,A16)</f>
        <v/>
      </c>
      <c r="H16" s="10" t="n"/>
      <c r="I16" s="10" t="n"/>
      <c r="J16" s="10" t="n"/>
      <c r="K16" s="10" t="n"/>
      <c r="L16" s="10" t="n"/>
      <c r="M16" s="10" t="n"/>
      <c r="N16" s="10" t="inlineStr">
        <is>
          <t>2026-10-06</t>
        </is>
      </c>
    </row>
    <row r="17">
      <c r="A17" s="10" t="inlineStr">
        <is>
          <t>TricorBraun</t>
        </is>
      </c>
      <c r="B17" s="10" t="inlineStr">
        <is>
          <t>tricorbraun</t>
        </is>
      </c>
      <c r="C17" s="10" t="inlineStr">
        <is>
          <t>No</t>
        </is>
      </c>
      <c r="D17" s="10" t="inlineStr">
        <is>
          <t>Listed</t>
        </is>
      </c>
      <c r="E17" s="10" t="inlineStr">
        <is>
          <t>US</t>
        </is>
      </c>
      <c r="F17" s="11" t="inlineStr">
        <is>
          <t>https://www.tricorbraun.com</t>
        </is>
      </c>
      <c r="G17" s="10">
        <f>COUNTIF(Products!$C:$C,A17)</f>
        <v/>
      </c>
      <c r="H17" s="10" t="n">
        <v>4.7</v>
      </c>
      <c r="I17" s="10" t="n">
        <v>41</v>
      </c>
      <c r="J17" s="10" t="inlineStr">
        <is>
          <t>Trustpilot</t>
        </is>
      </c>
      <c r="K17" s="11" t="inlineStr">
        <is>
          <t>https://www.trustpilot.com/review/tricorbraun.com</t>
        </is>
      </c>
      <c r="L17" s="10" t="n"/>
      <c r="M17" s="10" t="n"/>
      <c r="N17" s="10" t="inlineStr">
        <is>
          <t>2026-09-18</t>
        </is>
      </c>
    </row>
    <row r="18">
      <c r="A18" s="10" t="inlineStr">
        <is>
          <t>ePackageSupply</t>
        </is>
      </c>
      <c r="B18" s="10" t="inlineStr">
        <is>
          <t>epackage-supply</t>
        </is>
      </c>
      <c r="C18" s="10" t="inlineStr">
        <is>
          <t>No</t>
        </is>
      </c>
      <c r="D18" s="10" t="inlineStr">
        <is>
          <t>Recommended</t>
        </is>
      </c>
      <c r="E18" s="10" t="inlineStr">
        <is>
          <t>US</t>
        </is>
      </c>
      <c r="F18" s="11" t="inlineStr">
        <is>
          <t>https://epackagesupply.com</t>
        </is>
      </c>
      <c r="G18" s="10">
        <f>COUNTIF(Products!$C:$C,A18)</f>
        <v/>
      </c>
      <c r="H18" s="10" t="n"/>
      <c r="I18" s="10" t="n"/>
      <c r="J18" s="10" t="n"/>
      <c r="K18" s="10" t="n"/>
      <c r="L18" s="10" t="n"/>
      <c r="M18" s="10" t="n"/>
      <c r="N18" s="10" t="inlineStr">
        <is>
          <t>2026-09-21</t>
        </is>
      </c>
    </row>
  </sheetData>
  <autoFilter ref="A1:N18"/>
  <hyperlinks>
    <hyperlink xmlns:r="http://schemas.openxmlformats.org/officeDocument/2006/relationships" ref="F2" r:id="rId1"/>
    <hyperlink xmlns:r="http://schemas.openxmlformats.org/officeDocument/2006/relationships" ref="K2" r:id="rId2"/>
    <hyperlink xmlns:r="http://schemas.openxmlformats.org/officeDocument/2006/relationships" ref="F4" r:id="rId3"/>
    <hyperlink xmlns:r="http://schemas.openxmlformats.org/officeDocument/2006/relationships" ref="K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K6" r:id="rId7"/>
    <hyperlink xmlns:r="http://schemas.openxmlformats.org/officeDocument/2006/relationships" ref="F7" r:id="rId8"/>
    <hyperlink xmlns:r="http://schemas.openxmlformats.org/officeDocument/2006/relationships" ref="K7" r:id="rId9"/>
    <hyperlink xmlns:r="http://schemas.openxmlformats.org/officeDocument/2006/relationships" ref="F8" r:id="rId10"/>
    <hyperlink xmlns:r="http://schemas.openxmlformats.org/officeDocument/2006/relationships" ref="K8" r:id="rId11"/>
    <hyperlink xmlns:r="http://schemas.openxmlformats.org/officeDocument/2006/relationships" ref="F9" r:id="rId12"/>
    <hyperlink xmlns:r="http://schemas.openxmlformats.org/officeDocument/2006/relationships" ref="K9" r:id="rId13"/>
    <hyperlink xmlns:r="http://schemas.openxmlformats.org/officeDocument/2006/relationships" ref="F10" r:id="rId14"/>
    <hyperlink xmlns:r="http://schemas.openxmlformats.org/officeDocument/2006/relationships" ref="F11" r:id="rId15"/>
    <hyperlink xmlns:r="http://schemas.openxmlformats.org/officeDocument/2006/relationships" ref="K11" r:id="rId16"/>
    <hyperlink xmlns:r="http://schemas.openxmlformats.org/officeDocument/2006/relationships" ref="F12" r:id="rId17"/>
    <hyperlink xmlns:r="http://schemas.openxmlformats.org/officeDocument/2006/relationships" ref="K12" r:id="rId18"/>
    <hyperlink xmlns:r="http://schemas.openxmlformats.org/officeDocument/2006/relationships" ref="F13" r:id="rId19"/>
    <hyperlink xmlns:r="http://schemas.openxmlformats.org/officeDocument/2006/relationships" ref="K13" r:id="rId20"/>
    <hyperlink xmlns:r="http://schemas.openxmlformats.org/officeDocument/2006/relationships" ref="F14" r:id="rId21"/>
    <hyperlink xmlns:r="http://schemas.openxmlformats.org/officeDocument/2006/relationships" ref="K14" r:id="rId22"/>
    <hyperlink xmlns:r="http://schemas.openxmlformats.org/officeDocument/2006/relationships" ref="F15" r:id="rId23"/>
    <hyperlink xmlns:r="http://schemas.openxmlformats.org/officeDocument/2006/relationships" ref="K15" r:id="rId24"/>
    <hyperlink xmlns:r="http://schemas.openxmlformats.org/officeDocument/2006/relationships" ref="F16" r:id="rId25"/>
    <hyperlink xmlns:r="http://schemas.openxmlformats.org/officeDocument/2006/relationships" ref="F17" r:id="rId26"/>
    <hyperlink xmlns:r="http://schemas.openxmlformats.org/officeDocument/2006/relationships" ref="K17" r:id="rId27"/>
    <hyperlink xmlns:r="http://schemas.openxmlformats.org/officeDocument/2006/relationships" ref="F18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8" customWidth="1" min="2" max="2"/>
    <col width="30" customWidth="1" min="3" max="3"/>
    <col width="9" customWidth="1" min="4" max="4"/>
    <col width="13" customWidth="1" min="5" max="5"/>
    <col width="26" customWidth="1" min="6" max="6"/>
    <col width="20" customWidth="1" min="7" max="7"/>
    <col width="26" customWidth="1" min="8" max="8"/>
    <col width="12" customWidth="1" min="9" max="9"/>
    <col width="11" customWidth="1" min="10" max="10"/>
    <col width="9" customWidth="1" min="11" max="11"/>
    <col width="40" customWidth="1" min="12" max="12"/>
    <col width="12" customWidth="1" min="13" max="13"/>
    <col width="12" customWidth="1" min="14" max="14"/>
    <col width="30" customWidth="1" min="15" max="15"/>
    <col width="12" customWidth="1" min="16" max="16"/>
    <col width="11" customWidth="1" min="17" max="17"/>
    <col width="11" customWidth="1" min="18" max="18"/>
    <col width="50" customWidth="1" min="19" max="19"/>
    <col width="44" customWidth="1" min="20" max="20"/>
    <col width="11" customWidth="1" min="21" max="21"/>
    <col width="70" customWidth="1" min="22" max="22"/>
  </cols>
  <sheetData>
    <row r="1" ht="30" customHeight="1">
      <c r="A1" s="7" t="inlineStr">
        <is>
          <t>Product</t>
        </is>
      </c>
      <c r="B1" s="7" t="inlineStr">
        <is>
          <t>Product ID</t>
        </is>
      </c>
      <c r="C1" s="7" t="inlineStr">
        <is>
          <t>Supplier</t>
        </is>
      </c>
      <c r="D1" s="7" t="inlineStr">
        <is>
          <t>Partner</t>
        </is>
      </c>
      <c r="E1" s="7" t="inlineStr">
        <is>
          <t>Supplier tier</t>
        </is>
      </c>
      <c r="F1" s="7" t="inlineStr">
        <is>
          <t>Category</t>
        </is>
      </c>
      <c r="G1" s="7" t="inlineStr">
        <is>
          <t>Subcategory</t>
        </is>
      </c>
      <c r="H1" s="7" t="inlineStr">
        <is>
          <t>Material</t>
        </is>
      </c>
      <c r="I1" s="7" t="inlineStr">
        <is>
          <t>Price type</t>
        </is>
      </c>
      <c r="J1" s="7" t="inlineStr">
        <is>
          <t>Price</t>
        </is>
      </c>
      <c r="K1" s="7" t="inlineStr">
        <is>
          <t>Currency</t>
        </is>
      </c>
      <c r="L1" s="7" t="inlineStr">
        <is>
          <t>Price basis</t>
        </is>
      </c>
      <c r="M1" s="7" t="inlineStr">
        <is>
          <t>Per-unit price (stated)</t>
        </is>
      </c>
      <c r="N1" s="7" t="inlineStr">
        <is>
          <t>MOQ</t>
        </is>
      </c>
      <c r="O1" s="7" t="inlineStr">
        <is>
          <t>MOQ unit</t>
        </is>
      </c>
      <c r="P1" s="7" t="inlineStr">
        <is>
          <t>Lead time (days)</t>
        </is>
      </c>
      <c r="Q1" s="7" t="inlineStr">
        <is>
          <t>Stock / custom</t>
        </is>
      </c>
      <c r="R1" s="7" t="inlineStr">
        <is>
          <t>Sample policy verified</t>
        </is>
      </c>
      <c r="S1" s="7" t="inlineStr">
        <is>
          <t>Product page (source)</t>
        </is>
      </c>
      <c r="T1" s="7" t="inlineStr">
        <is>
          <t>Image</t>
        </is>
      </c>
      <c r="U1" s="7" t="inlineStr">
        <is>
          <t>Captured</t>
        </is>
      </c>
      <c r="V1" s="7" t="inlineStr">
        <is>
          <t>Description</t>
        </is>
      </c>
    </row>
    <row r="2">
      <c r="A2" s="8" t="inlineStr">
        <is>
          <t>16 oz Clear PET Plastic General Purpose Jars (Caps Sold Separately) — 34317-B</t>
        </is>
      </c>
      <c r="B2" s="8" t="inlineStr">
        <is>
          <t>cmus06djh000tucu9sqh2k45q</t>
        </is>
      </c>
      <c r="C2" s="8" t="inlineStr">
        <is>
          <t>Berlin Packaging</t>
        </is>
      </c>
      <c r="D2" s="8" t="inlineStr">
        <is>
          <t>Yes</t>
        </is>
      </c>
      <c r="E2" s="8" t="inlineStr">
        <is>
          <t>Listed</t>
        </is>
      </c>
      <c r="F2" s="8" t="inlineStr">
        <is>
          <t>Plastic Jars &amp; Canisters</t>
        </is>
      </c>
      <c r="G2" s="8" t="inlineStr">
        <is>
          <t>Wide-mouth jar</t>
        </is>
      </c>
      <c r="H2" s="8" t="inlineStr">
        <is>
          <t>Clear PET plastic</t>
        </is>
      </c>
      <c r="I2" s="8" t="inlineStr">
        <is>
          <t>Exact price</t>
        </is>
      </c>
      <c r="J2" s="12" t="n">
        <v>0.88</v>
      </c>
      <c r="K2" s="8" t="inlineStr">
        <is>
          <t>USD</t>
        </is>
      </c>
      <c r="L2" s="8" t="inlineStr">
        <is>
          <t>per jar (USD), cap sold separately</t>
        </is>
      </c>
      <c r="M2" s="8" t="n"/>
      <c r="N2" s="8" t="inlineStr">
        <is>
          <t>Not published</t>
        </is>
      </c>
      <c r="O2" s="8" t="n"/>
      <c r="P2" s="8" t="inlineStr">
        <is>
          <t>Not published</t>
        </is>
      </c>
      <c r="Q2" s="8" t="inlineStr">
        <is>
          <t>Stock</t>
        </is>
      </c>
      <c r="R2" s="8" t="inlineStr">
        <is>
          <t>No</t>
        </is>
      </c>
      <c r="S2" s="9" t="inlineStr">
        <is>
          <t>https://www.berlinpackaging.com/128-oz-clear-pet-plastic-wide-mouth-jars-cap-sold-separately-34398-b/</t>
        </is>
      </c>
      <c r="T2" s="8" t="inlineStr">
        <is>
          <t>/products/plastic-jar.png</t>
        </is>
      </c>
      <c r="U2" s="8" t="inlineStr">
        <is>
          <t>2026-10-02</t>
        </is>
      </c>
      <c r="V2" s="13" t="inlineStr">
        <is>
          <t>Verbatim (2026-10-02): listed at "$0.88 Each" on the 128 oz Clear PET Plastic Wide Mouth Jars page. General purpose wide-mouth jar; caps sold separately.</t>
        </is>
      </c>
    </row>
    <row r="3">
      <c r="A3" s="8" t="inlineStr">
        <is>
          <t>16 oz Clear PET Plastic Spice Jars (Black Cap) — 2310B07BLK</t>
        </is>
      </c>
      <c r="B3" s="8" t="inlineStr">
        <is>
          <t>cmus06a2y000hucu9ydsxg30o</t>
        </is>
      </c>
      <c r="C3" s="8" t="inlineStr">
        <is>
          <t>Berlin Packaging</t>
        </is>
      </c>
      <c r="D3" s="8" t="inlineStr">
        <is>
          <t>Yes</t>
        </is>
      </c>
      <c r="E3" s="8" t="inlineStr">
        <is>
          <t>Listed</t>
        </is>
      </c>
      <c r="F3" s="8" t="inlineStr">
        <is>
          <t>Plastic Jars &amp; Canisters</t>
        </is>
      </c>
      <c r="G3" s="8" t="inlineStr">
        <is>
          <t>Spice jar</t>
        </is>
      </c>
      <c r="H3" s="8" t="inlineStr">
        <is>
          <t>Clear PET plastic, PP cap</t>
        </is>
      </c>
      <c r="I3" s="8" t="inlineStr">
        <is>
          <t>Exact price</t>
        </is>
      </c>
      <c r="J3" s="12" t="n">
        <v>2.43</v>
      </c>
      <c r="K3" s="8" t="inlineStr">
        <is>
          <t>USD</t>
        </is>
      </c>
      <c r="L3" s="8" t="inlineStr">
        <is>
          <t>per jar with cap (USD)</t>
        </is>
      </c>
      <c r="M3" s="8" t="n"/>
      <c r="N3" s="8" t="inlineStr">
        <is>
          <t>Not published</t>
        </is>
      </c>
      <c r="O3" s="8" t="n"/>
      <c r="P3" s="8" t="inlineStr">
        <is>
          <t>Not published</t>
        </is>
      </c>
      <c r="Q3" s="8" t="inlineStr">
        <is>
          <t>Stock</t>
        </is>
      </c>
      <c r="R3" s="8" t="inlineStr">
        <is>
          <t>No</t>
        </is>
      </c>
      <c r="S3" s="9" t="inlineStr">
        <is>
          <t>https://www.berlinpackaging.com/2310b07wht-16-oz-clear-pet-plastic-spice-jars-white-cap/</t>
        </is>
      </c>
      <c r="T3" s="8" t="inlineStr">
        <is>
          <t>/products/plastic-jar.png</t>
        </is>
      </c>
      <c r="U3" s="8" t="inlineStr">
        <is>
          <t>2026-10-02</t>
        </is>
      </c>
      <c r="V3" s="13" t="inlineStr">
        <is>
          <t>Verbatim (2026-10-02): listed at "$2.43 Each" on the 16 oz Clear PET Plastic Spice Jars page (2310B07WHT). Cap included; PP spice cap.</t>
        </is>
      </c>
    </row>
    <row r="4">
      <c r="A4" s="8" t="inlineStr">
        <is>
          <t>17 oz Clear PET Plastic Honey Bear Bottles (Cap Not Included) — 324050</t>
        </is>
      </c>
      <c r="B4" s="8" t="inlineStr">
        <is>
          <t>cmus49wrd0006awu9kq4e9phw</t>
        </is>
      </c>
      <c r="C4" s="8" t="inlineStr">
        <is>
          <t>Berlin Packaging</t>
        </is>
      </c>
      <c r="D4" s="8" t="inlineStr">
        <is>
          <t>Yes</t>
        </is>
      </c>
      <c r="E4" s="8" t="inlineStr">
        <is>
          <t>Listed</t>
        </is>
      </c>
      <c r="F4" s="8" t="inlineStr">
        <is>
          <t>Plastic Bottles</t>
        </is>
      </c>
      <c r="G4" s="8" t="inlineStr">
        <is>
          <t>Honey bear bottle</t>
        </is>
      </c>
      <c r="H4" s="8" t="inlineStr">
        <is>
          <t>Clear PET plastic</t>
        </is>
      </c>
      <c r="I4" s="8" t="inlineStr">
        <is>
          <t>Exact price</t>
        </is>
      </c>
      <c r="J4" s="12" t="n">
        <v>0.79</v>
      </c>
      <c r="K4" s="8" t="inlineStr">
        <is>
          <t>USD</t>
        </is>
      </c>
      <c r="L4" s="8" t="inlineStr">
        <is>
          <t>per bottle (USD), cap sold separately</t>
        </is>
      </c>
      <c r="M4" s="8" t="n"/>
      <c r="N4" s="8" t="inlineStr">
        <is>
          <t>Not published</t>
        </is>
      </c>
      <c r="O4" s="8" t="n"/>
      <c r="P4" s="8" t="inlineStr">
        <is>
          <t>Not published</t>
        </is>
      </c>
      <c r="Q4" s="8" t="inlineStr">
        <is>
          <t>Stock</t>
        </is>
      </c>
      <c r="R4" s="8" t="inlineStr">
        <is>
          <t>No</t>
        </is>
      </c>
      <c r="S4" s="9" t="inlineStr">
        <is>
          <t>https://www.berlinpackaging.com/17-oz-clear-pet-plastic-honey-bear-bottles-cap-not-included-324050/</t>
        </is>
      </c>
      <c r="T4" s="8" t="inlineStr">
        <is>
          <t>/partners/berlin-packaging/324050.webp</t>
        </is>
      </c>
      <c r="U4" s="8" t="inlineStr">
        <is>
          <t>2026-10-03</t>
        </is>
      </c>
      <c r="V4" s="13" t="inlineStr">
        <is>
          <t>Verbatim (2026-10-03): "Your VIP Price: $ 0.79" (each). 17 fl oz honey bear; caps sold separately.</t>
        </is>
      </c>
    </row>
    <row r="5">
      <c r="A5" s="8" t="inlineStr">
        <is>
          <t>3.5 oz 100% PCR Aluminum Packer Bottle — 38-400 Cap Size — 337048</t>
        </is>
      </c>
      <c r="B5" s="8" t="inlineStr">
        <is>
          <t>cmus06fvx0011ucu9eyqix1w4</t>
        </is>
      </c>
      <c r="C5" s="8" t="inlineStr">
        <is>
          <t>Berlin Packaging</t>
        </is>
      </c>
      <c r="D5" s="8" t="inlineStr">
        <is>
          <t>Yes</t>
        </is>
      </c>
      <c r="E5" s="8" t="inlineStr">
        <is>
          <t>Listed</t>
        </is>
      </c>
      <c r="F5" s="8" t="inlineStr">
        <is>
          <t>Metal Cans — Beverage &amp; Food</t>
        </is>
      </c>
      <c r="G5" s="8" t="inlineStr">
        <is>
          <t>Aluminum packer bottle</t>
        </is>
      </c>
      <c r="H5" s="8" t="inlineStr">
        <is>
          <t>Aluminum (100% post-consumer recycled)</t>
        </is>
      </c>
      <c r="I5" s="8" t="inlineStr">
        <is>
          <t>Exact price</t>
        </is>
      </c>
      <c r="J5" s="12" t="n">
        <v>0.97</v>
      </c>
      <c r="K5" s="8" t="inlineStr">
        <is>
          <t>USD</t>
        </is>
      </c>
      <c r="L5" s="8" t="inlineStr">
        <is>
          <t>per bottle (USD), cap sold separately</t>
        </is>
      </c>
      <c r="M5" s="8" t="n"/>
      <c r="N5" s="8" t="inlineStr">
        <is>
          <t>Not published</t>
        </is>
      </c>
      <c r="O5" s="8" t="n"/>
      <c r="P5" s="8" t="inlineStr">
        <is>
          <t>Not published</t>
        </is>
      </c>
      <c r="Q5" s="8" t="inlineStr">
        <is>
          <t>Stock</t>
        </is>
      </c>
      <c r="R5" s="8" t="inlineStr">
        <is>
          <t>No</t>
        </is>
      </c>
      <c r="S5" s="9" t="inlineStr">
        <is>
          <t>https://www.berlinpackaging.com/3-5-oz-38-400-100-pct-pcr-aluminum-packer-bottle-337048/</t>
        </is>
      </c>
      <c r="T5" s="8" t="inlineStr">
        <is>
          <t>/partners/berlin-packaging/337048.webp</t>
        </is>
      </c>
      <c r="U5" s="8" t="inlineStr">
        <is>
          <t>2026-10-03</t>
        </is>
      </c>
      <c r="V5" s="13" t="inlineStr">
        <is>
          <t>Verbatim (2026-10-03): "Your VIP Price: $ 0.97" (each). "100% PCR (post consumer recycled) aluminum"; "Cap size: 38-400 (sold separately)"; "Developed primarily for the nutraceutical and pharmaceutical industries"; ~1.77 in diameter x 3.74 in height.</t>
        </is>
      </c>
    </row>
    <row r="6">
      <c r="A6" s="8" t="inlineStr">
        <is>
          <t>4 oz Clear PET Plastic Spice Jar (Black Cap) — 322420-K</t>
        </is>
      </c>
      <c r="B6" s="8" t="inlineStr">
        <is>
          <t>cmus49z490009awu9uol85nve</t>
        </is>
      </c>
      <c r="C6" s="8" t="inlineStr">
        <is>
          <t>Berlin Packaging</t>
        </is>
      </c>
      <c r="D6" s="8" t="inlineStr">
        <is>
          <t>Yes</t>
        </is>
      </c>
      <c r="E6" s="8" t="inlineStr">
        <is>
          <t>Listed</t>
        </is>
      </c>
      <c r="F6" s="8" t="inlineStr">
        <is>
          <t>Plastic Jars &amp; Canisters</t>
        </is>
      </c>
      <c r="G6" s="8" t="inlineStr">
        <is>
          <t>Spice jar</t>
        </is>
      </c>
      <c r="H6" s="8" t="inlineStr">
        <is>
          <t>Clear PET plastic, PP cap</t>
        </is>
      </c>
      <c r="I6" s="8" t="inlineStr">
        <is>
          <t>Exact price</t>
        </is>
      </c>
      <c r="J6" s="12" t="n">
        <v>0.74</v>
      </c>
      <c r="K6" s="8" t="inlineStr">
        <is>
          <t>USD</t>
        </is>
      </c>
      <c r="L6" s="8" t="inlineStr">
        <is>
          <t>per jar with cap (USD)</t>
        </is>
      </c>
      <c r="M6" s="8" t="n"/>
      <c r="N6" s="8" t="inlineStr">
        <is>
          <t>Not published</t>
        </is>
      </c>
      <c r="O6" s="8" t="n"/>
      <c r="P6" s="8" t="inlineStr">
        <is>
          <t>Not published</t>
        </is>
      </c>
      <c r="Q6" s="8" t="inlineStr">
        <is>
          <t>Stock</t>
        </is>
      </c>
      <c r="R6" s="8" t="inlineStr">
        <is>
          <t>No</t>
        </is>
      </c>
      <c r="S6" s="9" t="inlineStr">
        <is>
          <t>https://www.berlinpackaging.com/4-oz-clear-pet-plastic-spice-jar-black-cap-322420-k/</t>
        </is>
      </c>
      <c r="T6" s="8" t="inlineStr">
        <is>
          <t>/partners/berlin-packaging/322420-K.webp</t>
        </is>
      </c>
      <c r="U6" s="8" t="inlineStr">
        <is>
          <t>2026-10-03</t>
        </is>
      </c>
      <c r="V6" s="13" t="inlineStr">
        <is>
          <t>Verbatim (2026-10-03): "Your VIP Price: $ 0.74" (each). "Includes a Black PP Plastic Cap". "Our clear PET jars have transparent convenience, with additional properties to preserve the robustness of dry spices, particularly those with high oil content."</t>
        </is>
      </c>
    </row>
    <row r="7">
      <c r="A7" s="8" t="inlineStr">
        <is>
          <t>4 oz Clear PET Plastic Spice Jar (Red Cap) — 322420-B</t>
        </is>
      </c>
      <c r="B7" s="8" t="inlineStr">
        <is>
          <t>cmus06cfe000pucu9d47farak</t>
        </is>
      </c>
      <c r="C7" s="8" t="inlineStr">
        <is>
          <t>Berlin Packaging</t>
        </is>
      </c>
      <c r="D7" s="8" t="inlineStr">
        <is>
          <t>Yes</t>
        </is>
      </c>
      <c r="E7" s="8" t="inlineStr">
        <is>
          <t>Listed</t>
        </is>
      </c>
      <c r="F7" s="8" t="inlineStr">
        <is>
          <t>Plastic Jars &amp; Canisters</t>
        </is>
      </c>
      <c r="G7" s="8" t="inlineStr">
        <is>
          <t>Spice jar</t>
        </is>
      </c>
      <c r="H7" s="8" t="inlineStr">
        <is>
          <t>Clear PET plastic, PP cap with sifter</t>
        </is>
      </c>
      <c r="I7" s="8" t="inlineStr">
        <is>
          <t>Exact price</t>
        </is>
      </c>
      <c r="J7" s="12" t="n">
        <v>0.74</v>
      </c>
      <c r="K7" s="8" t="inlineStr">
        <is>
          <t>USD</t>
        </is>
      </c>
      <c r="L7" s="8" t="inlineStr">
        <is>
          <t>per jar with cap (USD)</t>
        </is>
      </c>
      <c r="M7" s="8" t="n"/>
      <c r="N7" s="8" t="inlineStr">
        <is>
          <t>Not published</t>
        </is>
      </c>
      <c r="O7" s="8" t="n"/>
      <c r="P7" s="8" t="inlineStr">
        <is>
          <t>Not published</t>
        </is>
      </c>
      <c r="Q7" s="8" t="inlineStr">
        <is>
          <t>Stock</t>
        </is>
      </c>
      <c r="R7" s="8" t="inlineStr">
        <is>
          <t>No</t>
        </is>
      </c>
      <c r="S7" s="9" t="inlineStr">
        <is>
          <t>https://www.berlinpackaging.com/4-oz-clear-pet-plastic-spice-jar-red-cap-322420-b/</t>
        </is>
      </c>
      <c r="T7" s="8" t="inlineStr">
        <is>
          <t>/partners/berlin-packaging/322420-B.webp</t>
        </is>
      </c>
      <c r="U7" s="8" t="inlineStr">
        <is>
          <t>2026-10-03</t>
        </is>
      </c>
      <c r="V7" s="13" t="inlineStr">
        <is>
          <t>Verbatim (2026-10-03): "Your VIP Price: $ 0.74" (each). Includes a red PP plastic cap and a sifter fitment with 1/8" holes; "FDA Food Contact Compliant".</t>
        </is>
      </c>
    </row>
    <row r="8">
      <c r="A8" s="8" t="inlineStr">
        <is>
          <t>4 oz Clear PET Plastic Wide Mouth Packer Bottles (Cap Not Included) — 343936</t>
        </is>
      </c>
      <c r="B8" s="8" t="inlineStr">
        <is>
          <t>cmus068uk000ducu9w19l1seu</t>
        </is>
      </c>
      <c r="C8" s="8" t="inlineStr">
        <is>
          <t>Berlin Packaging</t>
        </is>
      </c>
      <c r="D8" s="8" t="inlineStr">
        <is>
          <t>Yes</t>
        </is>
      </c>
      <c r="E8" s="8" t="inlineStr">
        <is>
          <t>Listed</t>
        </is>
      </c>
      <c r="F8" s="8" t="inlineStr">
        <is>
          <t>Plastic Bottles</t>
        </is>
      </c>
      <c r="G8" s="8" t="inlineStr">
        <is>
          <t>Packer bottle</t>
        </is>
      </c>
      <c r="H8" s="8" t="inlineStr">
        <is>
          <t>Clear PET plastic</t>
        </is>
      </c>
      <c r="I8" s="8" t="inlineStr">
        <is>
          <t>Exact price</t>
        </is>
      </c>
      <c r="J8" s="12" t="n">
        <v>0.42</v>
      </c>
      <c r="K8" s="8" t="inlineStr">
        <is>
          <t>USD</t>
        </is>
      </c>
      <c r="L8" s="8" t="inlineStr">
        <is>
          <t>per bottle (USD), cap sold separately</t>
        </is>
      </c>
      <c r="M8" s="8" t="n"/>
      <c r="N8" s="8" t="inlineStr">
        <is>
          <t>Not published</t>
        </is>
      </c>
      <c r="O8" s="8" t="n"/>
      <c r="P8" s="8" t="inlineStr">
        <is>
          <t>Not published</t>
        </is>
      </c>
      <c r="Q8" s="8" t="inlineStr">
        <is>
          <t>Stock</t>
        </is>
      </c>
      <c r="R8" s="8" t="inlineStr">
        <is>
          <t>No</t>
        </is>
      </c>
      <c r="S8" s="9" t="inlineStr">
        <is>
          <t>https://www.berlinpackaging.com/pet-plastic-wide-mouth-packer-bottles/</t>
        </is>
      </c>
      <c r="T8" s="8" t="inlineStr">
        <is>
          <t>/products/plastic-bottle.png</t>
        </is>
      </c>
      <c r="U8" s="8" t="inlineStr">
        <is>
          <t>2026-10-02</t>
        </is>
      </c>
      <c r="V8" s="13" t="inlineStr">
        <is>
          <t>Verbatim (2026-10-02): listed at "$0.42 Each" on the PET Plastic Wide Mouth Packer Bottles page. Wide-mouth packer bottle for tablets, vitamins, powders; caps sold separately.</t>
        </is>
      </c>
    </row>
    <row r="9">
      <c r="A9" s="8" t="inlineStr">
        <is>
          <t>8 oz Clear PET Plastic Honey Bear Bottles (Cap Not Included) — 33512-B</t>
        </is>
      </c>
      <c r="B9" s="8" t="inlineStr">
        <is>
          <t>cmus49vp20004awu9r6ns9qw3</t>
        </is>
      </c>
      <c r="C9" s="8" t="inlineStr">
        <is>
          <t>Berlin Packaging</t>
        </is>
      </c>
      <c r="D9" s="8" t="inlineStr">
        <is>
          <t>Yes</t>
        </is>
      </c>
      <c r="E9" s="8" t="inlineStr">
        <is>
          <t>Listed</t>
        </is>
      </c>
      <c r="F9" s="8" t="inlineStr">
        <is>
          <t>Plastic Bottles</t>
        </is>
      </c>
      <c r="G9" s="8" t="inlineStr">
        <is>
          <t>Honey bear bottle</t>
        </is>
      </c>
      <c r="H9" s="8" t="inlineStr">
        <is>
          <t>Clear PET plastic</t>
        </is>
      </c>
      <c r="I9" s="8" t="inlineStr">
        <is>
          <t>Exact price</t>
        </is>
      </c>
      <c r="J9" s="12" t="n">
        <v>0.65</v>
      </c>
      <c r="K9" s="8" t="inlineStr">
        <is>
          <t>USD</t>
        </is>
      </c>
      <c r="L9" s="8" t="inlineStr">
        <is>
          <t>per bottle (USD), cap sold separately</t>
        </is>
      </c>
      <c r="M9" s="8" t="n"/>
      <c r="N9" s="8" t="inlineStr">
        <is>
          <t>Not published</t>
        </is>
      </c>
      <c r="O9" s="8" t="n"/>
      <c r="P9" s="8" t="inlineStr">
        <is>
          <t>Not published</t>
        </is>
      </c>
      <c r="Q9" s="8" t="inlineStr">
        <is>
          <t>Stock</t>
        </is>
      </c>
      <c r="R9" s="8" t="inlineStr">
        <is>
          <t>No</t>
        </is>
      </c>
      <c r="S9" s="9" t="inlineStr">
        <is>
          <t>https://www.berlinpackaging.com/33512-b-8-oz-clear-pet-plastic-honey-bear-bottles-cap-not-included/</t>
        </is>
      </c>
      <c r="T9" s="8" t="inlineStr">
        <is>
          <t>/partners/berlin-packaging/33512-B.webp</t>
        </is>
      </c>
      <c r="U9" s="8" t="inlineStr">
        <is>
          <t>2026-10-03</t>
        </is>
      </c>
      <c r="V9" s="13" t="inlineStr">
        <is>
          <t>Verbatim (2026-10-03): "Your VIP Price: $ 0.65" (each). "Cap Size: 38-400 (sold separately)"; lightweight, shatter-resistant PET; flat label panel front and back.</t>
        </is>
      </c>
    </row>
    <row r="10">
      <c r="A10" s="8" t="inlineStr">
        <is>
          <t>8 oz Clear PET Plastic Honey Bear Bottles (Cap Not Included) — 3351B09-B</t>
        </is>
      </c>
      <c r="B10" s="8" t="inlineStr">
        <is>
          <t>cmus0659o0001ucu9cd3qjnsx</t>
        </is>
      </c>
      <c r="C10" s="8" t="inlineStr">
        <is>
          <t>Berlin Packaging</t>
        </is>
      </c>
      <c r="D10" s="8" t="inlineStr">
        <is>
          <t>Yes</t>
        </is>
      </c>
      <c r="E10" s="8" t="inlineStr">
        <is>
          <t>Listed</t>
        </is>
      </c>
      <c r="F10" s="8" t="inlineStr">
        <is>
          <t>Plastic Bottles</t>
        </is>
      </c>
      <c r="G10" s="8" t="inlineStr">
        <is>
          <t>Honey bear bottle</t>
        </is>
      </c>
      <c r="H10" s="8" t="inlineStr">
        <is>
          <t>Clear PET plastic</t>
        </is>
      </c>
      <c r="I10" s="8" t="inlineStr">
        <is>
          <t>Exact price</t>
        </is>
      </c>
      <c r="J10" s="12" t="n">
        <v>0.6</v>
      </c>
      <c r="K10" s="8" t="inlineStr">
        <is>
          <t>USD</t>
        </is>
      </c>
      <c r="L10" s="8" t="inlineStr">
        <is>
          <t>per bottle (USD), cap sold separately</t>
        </is>
      </c>
      <c r="M10" s="8" t="n"/>
      <c r="N10" s="8" t="inlineStr">
        <is>
          <t>Not published</t>
        </is>
      </c>
      <c r="O10" s="8" t="n"/>
      <c r="P10" s="8" t="inlineStr">
        <is>
          <t>Not published</t>
        </is>
      </c>
      <c r="Q10" s="8" t="inlineStr">
        <is>
          <t>Stock</t>
        </is>
      </c>
      <c r="R10" s="8" t="inlineStr">
        <is>
          <t>No</t>
        </is>
      </c>
      <c r="S10" s="9" t="inlineStr">
        <is>
          <t>https://www.berlinpackaging.com/3351b09-b-8-oz-clear-pet-plastic-honey-bear-bottles-cap-not-included/</t>
        </is>
      </c>
      <c r="T10" s="8" t="inlineStr">
        <is>
          <t>/partners/berlin-packaging/3351B09-B.webp</t>
        </is>
      </c>
      <c r="U10" s="8" t="inlineStr">
        <is>
          <t>2026-10-03</t>
        </is>
      </c>
      <c r="V10" s="13" t="inlineStr">
        <is>
          <t>Verbatim (2026-10-03): "Your VIP Price: $ 0.6" (each). "Cap Size: 38-400 (sold separately)"; "FDA Food Contact Compliant"; "BPA NI*"; front and back label panels; holds 8 fl oz (12 honey-weight oz). "Bulk pricing is not available for this item."</t>
        </is>
      </c>
    </row>
    <row r="11">
      <c r="A11" s="8" t="inlineStr">
        <is>
          <t>8 oz Clear PET Plastic Honey Bear Bottles (Flip-Top Cap) — 33512</t>
        </is>
      </c>
      <c r="B11" s="8" t="inlineStr">
        <is>
          <t>cmus067n30009ucu9jnqyitgq</t>
        </is>
      </c>
      <c r="C11" s="8" t="inlineStr">
        <is>
          <t>Berlin Packaging</t>
        </is>
      </c>
      <c r="D11" s="8" t="inlineStr">
        <is>
          <t>Yes</t>
        </is>
      </c>
      <c r="E11" s="8" t="inlineStr">
        <is>
          <t>Listed</t>
        </is>
      </c>
      <c r="F11" s="8" t="inlineStr">
        <is>
          <t>Plastic Bottles</t>
        </is>
      </c>
      <c r="G11" s="8" t="inlineStr">
        <is>
          <t>Honey bear bottle</t>
        </is>
      </c>
      <c r="H11" s="8" t="inlineStr">
        <is>
          <t>Clear PET plastic, PP flip-top cap</t>
        </is>
      </c>
      <c r="I11" s="8" t="inlineStr">
        <is>
          <t>Exact price</t>
        </is>
      </c>
      <c r="J11" s="12" t="n">
        <v>1.61</v>
      </c>
      <c r="K11" s="8" t="inlineStr">
        <is>
          <t>USD</t>
        </is>
      </c>
      <c r="L11" s="8" t="inlineStr">
        <is>
          <t>per bottle with cap (USD)</t>
        </is>
      </c>
      <c r="M11" s="8" t="n"/>
      <c r="N11" s="8" t="inlineStr">
        <is>
          <t>Not published</t>
        </is>
      </c>
      <c r="O11" s="8" t="n"/>
      <c r="P11" s="8" t="inlineStr">
        <is>
          <t>Not published</t>
        </is>
      </c>
      <c r="Q11" s="8" t="inlineStr">
        <is>
          <t>Stock</t>
        </is>
      </c>
      <c r="R11" s="8" t="inlineStr">
        <is>
          <t>No</t>
        </is>
      </c>
      <c r="S11" s="9" t="inlineStr">
        <is>
          <t>https://www.berlinpackaging.com/33512-8-oz-clear-pet-plastic-honey-bear-bottles-flip-top-cap/</t>
        </is>
      </c>
      <c r="T11" s="8" t="inlineStr">
        <is>
          <t>/partners/berlin-packaging/33512.webp</t>
        </is>
      </c>
      <c r="U11" s="8" t="inlineStr">
        <is>
          <t>2026-10-03</t>
        </is>
      </c>
      <c r="V11" s="13" t="inlineStr">
        <is>
          <t>Verbatim (2026-10-03): "Your VIP Price: $ 1.61" (each). Includes yellow PP low-profile flip-top cap with foam liner; flat label panel front and back; bulk pricing available on request.</t>
        </is>
      </c>
    </row>
    <row r="12">
      <c r="A12" s="8" t="inlineStr">
        <is>
          <t>8 oz Clear PET Plastic Honey Bear Bottles (Yellow Flip Top Cap) — 3351B09</t>
        </is>
      </c>
      <c r="B12" s="8" t="inlineStr">
        <is>
          <t>cmus066gf0005ucu98bi4bcik</t>
        </is>
      </c>
      <c r="C12" s="8" t="inlineStr">
        <is>
          <t>Berlin Packaging</t>
        </is>
      </c>
      <c r="D12" s="8" t="inlineStr">
        <is>
          <t>Yes</t>
        </is>
      </c>
      <c r="E12" s="8" t="inlineStr">
        <is>
          <t>Listed</t>
        </is>
      </c>
      <c r="F12" s="8" t="inlineStr">
        <is>
          <t>Plastic Bottles</t>
        </is>
      </c>
      <c r="G12" s="8" t="inlineStr">
        <is>
          <t>Honey bear bottle</t>
        </is>
      </c>
      <c r="H12" s="8" t="inlineStr">
        <is>
          <t>Clear PET plastic, PP flip-top cap</t>
        </is>
      </c>
      <c r="I12" s="8" t="inlineStr">
        <is>
          <t>Exact price</t>
        </is>
      </c>
      <c r="J12" s="12" t="n">
        <v>1.38</v>
      </c>
      <c r="K12" s="8" t="inlineStr">
        <is>
          <t>USD</t>
        </is>
      </c>
      <c r="L12" s="8" t="inlineStr">
        <is>
          <t>per bottle with cap (USD)</t>
        </is>
      </c>
      <c r="M12" s="8" t="n"/>
      <c r="N12" s="8" t="inlineStr">
        <is>
          <t>Not published</t>
        </is>
      </c>
      <c r="O12" s="8" t="n"/>
      <c r="P12" s="8" t="inlineStr">
        <is>
          <t>Not published</t>
        </is>
      </c>
      <c r="Q12" s="8" t="inlineStr">
        <is>
          <t>Stock</t>
        </is>
      </c>
      <c r="R12" s="8" t="inlineStr">
        <is>
          <t>No</t>
        </is>
      </c>
      <c r="S12" s="9" t="inlineStr">
        <is>
          <t>https://www.berlinpackaging.com/3351b09-8-oz-clear-pet-plastic-honey-bear-bottles-yellow-flip-top-cap/</t>
        </is>
      </c>
      <c r="T12" s="8" t="inlineStr">
        <is>
          <t>/partners/berlin-packaging/3351B09.webp</t>
        </is>
      </c>
      <c r="U12" s="8" t="inlineStr">
        <is>
          <t>2026-10-03</t>
        </is>
      </c>
      <c r="V12" s="13" t="inlineStr">
        <is>
          <t>Verbatim (2026-10-03): "Your VIP Price: $ 1.38" (each). Includes a yellow PP flip-top cap with foam liner; 8 fl oz (12 honey-weight oz); front/back label panels.</t>
        </is>
      </c>
    </row>
    <row r="13">
      <c r="A13" s="8" t="inlineStr">
        <is>
          <t>8 oz Clear PET Spice Jars (White Cap) — 2310B05WHT</t>
        </is>
      </c>
      <c r="B13" s="8" t="inlineStr">
        <is>
          <t>cmus06b6z000lucu9mqdxz2kt</t>
        </is>
      </c>
      <c r="C13" s="8" t="inlineStr">
        <is>
          <t>Berlin Packaging</t>
        </is>
      </c>
      <c r="D13" s="8" t="inlineStr">
        <is>
          <t>Yes</t>
        </is>
      </c>
      <c r="E13" s="8" t="inlineStr">
        <is>
          <t>Listed</t>
        </is>
      </c>
      <c r="F13" s="8" t="inlineStr">
        <is>
          <t>Plastic Jars &amp; Canisters</t>
        </is>
      </c>
      <c r="G13" s="8" t="inlineStr">
        <is>
          <t>Spice jar</t>
        </is>
      </c>
      <c r="H13" s="8" t="inlineStr">
        <is>
          <t>Clear PET plastic, PP cap with sifter</t>
        </is>
      </c>
      <c r="I13" s="8" t="inlineStr">
        <is>
          <t>Exact price</t>
        </is>
      </c>
      <c r="J13" s="12" t="n">
        <v>1.97</v>
      </c>
      <c r="K13" s="8" t="inlineStr">
        <is>
          <t>USD</t>
        </is>
      </c>
      <c r="L13" s="8" t="inlineStr">
        <is>
          <t>per jar with cap (USD)</t>
        </is>
      </c>
      <c r="M13" s="8" t="n"/>
      <c r="N13" s="8" t="inlineStr">
        <is>
          <t>Not published</t>
        </is>
      </c>
      <c r="O13" s="8" t="n"/>
      <c r="P13" s="8" t="inlineStr">
        <is>
          <t>Not published</t>
        </is>
      </c>
      <c r="Q13" s="8" t="inlineStr">
        <is>
          <t>Stock</t>
        </is>
      </c>
      <c r="R13" s="8" t="inlineStr">
        <is>
          <t>No</t>
        </is>
      </c>
      <c r="S13" s="9" t="inlineStr">
        <is>
          <t>https://www.berlinpackaging.com/2310b05wht-8-4-oz-clear-pet-spice-jars-white-cap/</t>
        </is>
      </c>
      <c r="T13" s="8" t="inlineStr">
        <is>
          <t>/partners/berlin-packaging/2310B05WHT.webp</t>
        </is>
      </c>
      <c r="U13" s="8" t="inlineStr">
        <is>
          <t>2026-10-03</t>
        </is>
      </c>
      <c r="V13" s="13" t="inlineStr">
        <is>
          <t>Verbatim (2026-10-03): "Your VIP Price: $ 1.97" (each). "8.4 oz. Clear PET Spice Jar"; "Sifter Fitment"; white PP spice cap included.</t>
        </is>
      </c>
    </row>
    <row r="14">
      <c r="A14" s="8" t="inlineStr">
        <is>
          <t>8 oz White HDPE Plastic Wide Mouth Jars (Cap Not Included) — 3301B08-B</t>
        </is>
      </c>
      <c r="B14" s="8" t="inlineStr">
        <is>
          <t>cmus06ena000xucu9vcg701x7</t>
        </is>
      </c>
      <c r="C14" s="8" t="inlineStr">
        <is>
          <t>Berlin Packaging</t>
        </is>
      </c>
      <c r="D14" s="8" t="inlineStr">
        <is>
          <t>Yes</t>
        </is>
      </c>
      <c r="E14" s="8" t="inlineStr">
        <is>
          <t>Listed</t>
        </is>
      </c>
      <c r="F14" s="8" t="inlineStr">
        <is>
          <t>Plastic Jars &amp; Canisters</t>
        </is>
      </c>
      <c r="G14" s="8" t="inlineStr">
        <is>
          <t>Wide-mouth jar</t>
        </is>
      </c>
      <c r="H14" s="8" t="inlineStr">
        <is>
          <t>White HDPE plastic</t>
        </is>
      </c>
      <c r="I14" s="8" t="inlineStr">
        <is>
          <t>Exact price</t>
        </is>
      </c>
      <c r="J14" s="12" t="n">
        <v>0.73</v>
      </c>
      <c r="K14" s="8" t="inlineStr">
        <is>
          <t>USD</t>
        </is>
      </c>
      <c r="L14" s="8" t="inlineStr">
        <is>
          <t>per jar (USD), cap sold separately</t>
        </is>
      </c>
      <c r="M14" s="8" t="n"/>
      <c r="N14" s="8" t="inlineStr">
        <is>
          <t>Not published</t>
        </is>
      </c>
      <c r="O14" s="8" t="n"/>
      <c r="P14" s="8" t="inlineStr">
        <is>
          <t>Not published</t>
        </is>
      </c>
      <c r="Q14" s="8" t="inlineStr">
        <is>
          <t>Stock</t>
        </is>
      </c>
      <c r="R14" s="8" t="inlineStr">
        <is>
          <t>No</t>
        </is>
      </c>
      <c r="S14" s="9" t="inlineStr">
        <is>
          <t>https://www.berlinpackaging.com/128-oz-clear-pet-plastic-wide-mouth-jars-cap-sold-separately-34398-b/</t>
        </is>
      </c>
      <c r="T14" s="8" t="inlineStr">
        <is>
          <t>/products/plastic-jar.png</t>
        </is>
      </c>
      <c r="U14" s="8" t="inlineStr">
        <is>
          <t>2026-10-02</t>
        </is>
      </c>
      <c r="V14" s="13" t="inlineStr">
        <is>
          <t>Verbatim (2026-10-02): listed at "$0.73 Each" on the 128 oz Clear PET Plastic Wide Mouth Jars page. Caps not included.</t>
        </is>
      </c>
    </row>
    <row r="15">
      <c r="A15" s="8" t="inlineStr">
        <is>
          <t>Brushed-Metal Effect Pouch</t>
        </is>
      </c>
      <c r="B15" s="8" t="inlineStr">
        <is>
          <t>cmv1z3bln0058acu9pckygjad</t>
        </is>
      </c>
      <c r="C15" s="8" t="inlineStr">
        <is>
          <t>Daehung Pack</t>
        </is>
      </c>
      <c r="D15" s="8" t="inlineStr">
        <is>
          <t>Yes</t>
        </is>
      </c>
      <c r="E15" s="8" t="inlineStr">
        <is>
          <t>Quote only</t>
        </is>
      </c>
      <c r="F15" s="8" t="inlineStr">
        <is>
          <t>Flexible Pouches &amp; Bags</t>
        </is>
      </c>
      <c r="G15" s="8" t="inlineStr">
        <is>
          <t>Metallic pouch</t>
        </is>
      </c>
      <c r="H15" s="8" t="inlineStr">
        <is>
          <t>Printed flexible laminate</t>
        </is>
      </c>
      <c r="I15" s="8" t="inlineStr">
        <is>
          <t>Quote only</t>
        </is>
      </c>
      <c r="J15" s="8" t="inlineStr">
        <is>
          <t>Ask the supplier</t>
        </is>
      </c>
      <c r="K15" s="8" t="n"/>
      <c r="L15" s="8" t="n"/>
      <c r="M15" s="8" t="n"/>
      <c r="N15" s="8" t="inlineStr">
        <is>
          <t>Not published</t>
        </is>
      </c>
      <c r="O15" s="8" t="n"/>
      <c r="P15" s="8" t="inlineStr">
        <is>
          <t>Not published</t>
        </is>
      </c>
      <c r="Q15" s="8" t="inlineStr">
        <is>
          <t>Custom</t>
        </is>
      </c>
      <c r="R15" s="8" t="inlineStr">
        <is>
          <t>No</t>
        </is>
      </c>
      <c r="S15" s="8" t="inlineStr">
        <is>
          <t>/partners/daehung-pack/company-profile.pdf</t>
        </is>
      </c>
      <c r="T15" s="8" t="inlineStr">
        <is>
          <t>/partners/daehung-pack/metal-wire-drawing.jpg</t>
        </is>
      </c>
      <c r="U15" s="8" t="inlineStr">
        <is>
          <t>2026-10-10</t>
        </is>
      </c>
      <c r="V15" s="13" t="inlineStr">
        <is>
          <t>From Daehung Pack's company presentation (partner-supplied, 2026-10-10). Gold pouch with a brushed (wire-drawn) metal texture. No price, minimum or lead time stated for this format — quote on request.</t>
        </is>
      </c>
    </row>
    <row r="16">
      <c r="A16" s="8" t="inlineStr">
        <is>
          <t>Coffee Bag with One-Way Valve</t>
        </is>
      </c>
      <c r="B16" s="8" t="inlineStr">
        <is>
          <t>cmv1z38mt0052acu9sztrsuuj</t>
        </is>
      </c>
      <c r="C16" s="8" t="inlineStr">
        <is>
          <t>Daehung Pack</t>
        </is>
      </c>
      <c r="D16" s="8" t="inlineStr">
        <is>
          <t>Yes</t>
        </is>
      </c>
      <c r="E16" s="8" t="inlineStr">
        <is>
          <t>Quote only</t>
        </is>
      </c>
      <c r="F16" s="8" t="inlineStr">
        <is>
          <t>Flexible Pouches &amp; Bags</t>
        </is>
      </c>
      <c r="G16" s="8" t="inlineStr">
        <is>
          <t>Coffee pouch</t>
        </is>
      </c>
      <c r="H16" s="8" t="inlineStr">
        <is>
          <t>Printed flexible laminate</t>
        </is>
      </c>
      <c r="I16" s="8" t="inlineStr">
        <is>
          <t>Quote only</t>
        </is>
      </c>
      <c r="J16" s="8" t="inlineStr">
        <is>
          <t>Ask the supplier</t>
        </is>
      </c>
      <c r="K16" s="8" t="n"/>
      <c r="L16" s="8" t="n"/>
      <c r="M16" s="8" t="n"/>
      <c r="N16" s="8" t="inlineStr">
        <is>
          <t>Not published</t>
        </is>
      </c>
      <c r="O16" s="8" t="n"/>
      <c r="P16" s="8" t="inlineStr">
        <is>
          <t>Not published</t>
        </is>
      </c>
      <c r="Q16" s="8" t="inlineStr">
        <is>
          <t>Custom</t>
        </is>
      </c>
      <c r="R16" s="8" t="inlineStr">
        <is>
          <t>No</t>
        </is>
      </c>
      <c r="S16" s="8" t="inlineStr">
        <is>
          <t>/partners/daehung-pack/company-profile.pdf</t>
        </is>
      </c>
      <c r="T16" s="8" t="inlineStr">
        <is>
          <t>/partners/daehung-pack/coffee-bag-valve.jpg</t>
        </is>
      </c>
      <c r="U16" s="8" t="inlineStr">
        <is>
          <t>2026-10-10</t>
        </is>
      </c>
      <c r="V16" s="13" t="inlineStr">
        <is>
          <t>From Daehung Pack's company presentation (partner-supplied, 2026-10-10). White coffee bag with degassing valve. No price, minimum or lead time stated for this format — quote on request.</t>
        </is>
      </c>
    </row>
    <row r="17">
      <c r="A17" s="8" t="inlineStr">
        <is>
          <t>Custom Printed Bag-in-Box</t>
        </is>
      </c>
      <c r="B17" s="8" t="inlineStr">
        <is>
          <t>cmv1z34ou004uacu9fe5emzja</t>
        </is>
      </c>
      <c r="C17" s="8" t="inlineStr">
        <is>
          <t>Daehung Pack</t>
        </is>
      </c>
      <c r="D17" s="8" t="inlineStr">
        <is>
          <t>Yes</t>
        </is>
      </c>
      <c r="E17" s="8" t="inlineStr">
        <is>
          <t>Quote only</t>
        </is>
      </c>
      <c r="F17" s="8" t="inlineStr">
        <is>
          <t>Flexible Pouches &amp; Bags</t>
        </is>
      </c>
      <c r="G17" s="8" t="inlineStr">
        <is>
          <t>Bag-in-box</t>
        </is>
      </c>
      <c r="H17" s="8" t="inlineStr">
        <is>
          <t>Printed flexible laminate</t>
        </is>
      </c>
      <c r="I17" s="8" t="inlineStr">
        <is>
          <t>Quote only</t>
        </is>
      </c>
      <c r="J17" s="8" t="inlineStr">
        <is>
          <t>Ask the supplier</t>
        </is>
      </c>
      <c r="K17" s="8" t="n"/>
      <c r="L17" s="8" t="n"/>
      <c r="M17" s="8" t="n"/>
      <c r="N17" s="8" t="n">
        <v>500</v>
      </c>
      <c r="O17" s="8" t="inlineStr">
        <is>
          <t>pieces (digital print; 10,000 pieces for gravure)</t>
        </is>
      </c>
      <c r="P17" s="8" t="inlineStr">
        <is>
          <t>Not published</t>
        </is>
      </c>
      <c r="Q17" s="8" t="inlineStr">
        <is>
          <t>Custom</t>
        </is>
      </c>
      <c r="R17" s="8" t="inlineStr">
        <is>
          <t>No</t>
        </is>
      </c>
      <c r="S17" s="8" t="inlineStr">
        <is>
          <t>/partners/daehung-pack/products-2025.pdf</t>
        </is>
      </c>
      <c r="T17" s="8" t="inlineStr">
        <is>
          <t>/partners/daehung-pack/bag-in-box.jpg</t>
        </is>
      </c>
      <c r="U17" s="8" t="inlineStr">
        <is>
          <t>2026-10-10</t>
        </is>
      </c>
      <c r="V17" s="13" t="inlineStr">
        <is>
          <t>From Daehung Pack's 2025 product catalog (partner-supplied, 2026-10-10). Ideal for bulk packing of liquids, oils and sauces. Print: digital or gravure. Colours: up to 10. Setup: none for digital; printing cylinders required for gravure. No price published — quote on request.</t>
        </is>
      </c>
    </row>
    <row r="18">
      <c r="A18" s="8" t="inlineStr">
        <is>
          <t>Custom Printed Box Pouch (Flat Bottom)</t>
        </is>
      </c>
      <c r="B18" s="8" t="inlineStr">
        <is>
          <t>cmv1z2zqh004kacu91jw1tpuk</t>
        </is>
      </c>
      <c r="C18" s="8" t="inlineStr">
        <is>
          <t>Daehung Pack</t>
        </is>
      </c>
      <c r="D18" s="8" t="inlineStr">
        <is>
          <t>Yes</t>
        </is>
      </c>
      <c r="E18" s="8" t="inlineStr">
        <is>
          <t>Quote only</t>
        </is>
      </c>
      <c r="F18" s="8" t="inlineStr">
        <is>
          <t>Flexible Pouches &amp; Bags</t>
        </is>
      </c>
      <c r="G18" s="8" t="inlineStr">
        <is>
          <t>Flat-bottom pouch</t>
        </is>
      </c>
      <c r="H18" s="8" t="inlineStr">
        <is>
          <t>Printed flexible laminate</t>
        </is>
      </c>
      <c r="I18" s="8" t="inlineStr">
        <is>
          <t>Quote only</t>
        </is>
      </c>
      <c r="J18" s="8" t="inlineStr">
        <is>
          <t>Ask the supplier</t>
        </is>
      </c>
      <c r="K18" s="8" t="n"/>
      <c r="L18" s="8" t="n"/>
      <c r="M18" s="8" t="n"/>
      <c r="N18" s="8" t="n">
        <v>500</v>
      </c>
      <c r="O18" s="8" t="inlineStr">
        <is>
          <t>pieces (digital print; 10,000 pieces for gravure)</t>
        </is>
      </c>
      <c r="P18" s="8" t="inlineStr">
        <is>
          <t>Not published</t>
        </is>
      </c>
      <c r="Q18" s="8" t="inlineStr">
        <is>
          <t>Custom</t>
        </is>
      </c>
      <c r="R18" s="8" t="inlineStr">
        <is>
          <t>No</t>
        </is>
      </c>
      <c r="S18" s="8" t="inlineStr">
        <is>
          <t>/partners/daehung-pack/products-2025.pdf</t>
        </is>
      </c>
      <c r="T18" s="8" t="inlineStr">
        <is>
          <t>/partners/daehung-pack/box-pouch.jpg</t>
        </is>
      </c>
      <c r="U18" s="8" t="inlineStr">
        <is>
          <t>2026-10-10</t>
        </is>
      </c>
      <c r="V18" s="13" t="inlineStr">
        <is>
          <t>From Daehung Pack's 2025 product catalog (partner-supplied, 2026-10-10). Ideal for protein powder, pet food, grains and coffee beans. Print: digital or gravure. Colours: up to 10. Setup: none for digital; printing cylinders required for gravure. No price published — quote on request.</t>
        </is>
      </c>
    </row>
    <row r="19">
      <c r="A19" s="8" t="inlineStr">
        <is>
          <t>Custom Printed Coffee Pouch</t>
        </is>
      </c>
      <c r="B19" s="8" t="inlineStr">
        <is>
          <t>cmv1z30q4004macu9utehqacy</t>
        </is>
      </c>
      <c r="C19" s="8" t="inlineStr">
        <is>
          <t>Daehung Pack</t>
        </is>
      </c>
      <c r="D19" s="8" t="inlineStr">
        <is>
          <t>Yes</t>
        </is>
      </c>
      <c r="E19" s="8" t="inlineStr">
        <is>
          <t>Quote only</t>
        </is>
      </c>
      <c r="F19" s="8" t="inlineStr">
        <is>
          <t>Flexible Pouches &amp; Bags</t>
        </is>
      </c>
      <c r="G19" s="8" t="inlineStr">
        <is>
          <t>Coffee pouch</t>
        </is>
      </c>
      <c r="H19" s="8" t="inlineStr">
        <is>
          <t>Printed flexible laminate</t>
        </is>
      </c>
      <c r="I19" s="8" t="inlineStr">
        <is>
          <t>Quote only</t>
        </is>
      </c>
      <c r="J19" s="8" t="inlineStr">
        <is>
          <t>Ask the supplier</t>
        </is>
      </c>
      <c r="K19" s="8" t="n"/>
      <c r="L19" s="8" t="n"/>
      <c r="M19" s="8" t="n"/>
      <c r="N19" s="8" t="n">
        <v>500</v>
      </c>
      <c r="O19" s="8" t="inlineStr">
        <is>
          <t>pieces (digital print; 10,000 pieces for gravure)</t>
        </is>
      </c>
      <c r="P19" s="8" t="inlineStr">
        <is>
          <t>Not published</t>
        </is>
      </c>
      <c r="Q19" s="8" t="inlineStr">
        <is>
          <t>Custom</t>
        </is>
      </c>
      <c r="R19" s="8" t="inlineStr">
        <is>
          <t>No</t>
        </is>
      </c>
      <c r="S19" s="8" t="inlineStr">
        <is>
          <t>/partners/daehung-pack/products-2025.pdf</t>
        </is>
      </c>
      <c r="T19" s="8" t="inlineStr">
        <is>
          <t>/partners/daehung-pack/coffee-pouch.jpg</t>
        </is>
      </c>
      <c r="U19" s="8" t="inlineStr">
        <is>
          <t>2026-10-10</t>
        </is>
      </c>
      <c r="V19" s="13" t="inlineStr">
        <is>
          <t>From Daehung Pack's 2025 product catalog (partner-supplied, 2026-10-10). Ideal for whole and ground beans, to preserve flavour and profile. Print: digital or gravure. Colours: up to 10. Setup: none for digital; printing cylinders required for gravure. No price published — quote on request.</t>
        </is>
      </c>
    </row>
    <row r="20">
      <c r="A20" s="8" t="inlineStr">
        <is>
          <t>Custom Printed Form-Fill-Seal Film</t>
        </is>
      </c>
      <c r="B20" s="8" t="inlineStr">
        <is>
          <t>cmv1z37nd0050acu9ns7oyvmc</t>
        </is>
      </c>
      <c r="C20" s="8" t="inlineStr">
        <is>
          <t>Daehung Pack</t>
        </is>
      </c>
      <c r="D20" s="8" t="inlineStr">
        <is>
          <t>Yes</t>
        </is>
      </c>
      <c r="E20" s="8" t="inlineStr">
        <is>
          <t>Quote only</t>
        </is>
      </c>
      <c r="F20" s="8" t="inlineStr">
        <is>
          <t>Flexible Film Rollstock &amp; Flow Wrap</t>
        </is>
      </c>
      <c r="G20" s="8" t="inlineStr">
        <is>
          <t>Form, fill and seal</t>
        </is>
      </c>
      <c r="H20" s="8" t="inlineStr">
        <is>
          <t>Printed flexible laminate</t>
        </is>
      </c>
      <c r="I20" s="8" t="inlineStr">
        <is>
          <t>Quote only</t>
        </is>
      </c>
      <c r="J20" s="8" t="inlineStr">
        <is>
          <t>Ask the supplier</t>
        </is>
      </c>
      <c r="K20" s="8" t="n"/>
      <c r="L20" s="8" t="n"/>
      <c r="M20" s="8" t="n"/>
      <c r="N20" s="8" t="n">
        <v>1</v>
      </c>
      <c r="O20" s="8" t="inlineStr">
        <is>
          <t>roll (digital print; 5 rolls for gravure)</t>
        </is>
      </c>
      <c r="P20" s="8" t="inlineStr">
        <is>
          <t>Not published</t>
        </is>
      </c>
      <c r="Q20" s="8" t="inlineStr">
        <is>
          <t>Custom</t>
        </is>
      </c>
      <c r="R20" s="8" t="inlineStr">
        <is>
          <t>No</t>
        </is>
      </c>
      <c r="S20" s="8" t="inlineStr">
        <is>
          <t>/partners/daehung-pack/products-2025.pdf</t>
        </is>
      </c>
      <c r="T20" s="8" t="inlineStr">
        <is>
          <t>/partners/daehung-pack/form-fill-seal.jpg</t>
        </is>
      </c>
      <c r="U20" s="8" t="inlineStr">
        <is>
          <t>2026-10-10</t>
        </is>
      </c>
      <c r="V20" s="13" t="inlineStr">
        <is>
          <t>From Daehung Pack's 2025 product catalog (partner-supplied, 2026-10-10). Ideal for dry goods, lollies, salads, slices, bread, sausages and free-flow products. Print: digital or gravure. Colours: up to 10. Setup: none for digital; printing cylinders required for gravure. No price published — quote on request.</t>
        </is>
      </c>
    </row>
    <row r="21">
      <c r="A21" s="8" t="inlineStr">
        <is>
          <t>Custom Printed Refill Pack</t>
        </is>
      </c>
      <c r="B21" s="8" t="inlineStr">
        <is>
          <t>cmv1z35og004wacu9blv2d59v</t>
        </is>
      </c>
      <c r="C21" s="8" t="inlineStr">
        <is>
          <t>Daehung Pack</t>
        </is>
      </c>
      <c r="D21" s="8" t="inlineStr">
        <is>
          <t>Yes</t>
        </is>
      </c>
      <c r="E21" s="8" t="inlineStr">
        <is>
          <t>Quote only</t>
        </is>
      </c>
      <c r="F21" s="8" t="inlineStr">
        <is>
          <t>Flexible Pouches &amp; Bags</t>
        </is>
      </c>
      <c r="G21" s="8" t="inlineStr">
        <is>
          <t>Refill pack</t>
        </is>
      </c>
      <c r="H21" s="8" t="inlineStr">
        <is>
          <t>Printed flexible laminate</t>
        </is>
      </c>
      <c r="I21" s="8" t="inlineStr">
        <is>
          <t>Quote only</t>
        </is>
      </c>
      <c r="J21" s="8" t="inlineStr">
        <is>
          <t>Ask the supplier</t>
        </is>
      </c>
      <c r="K21" s="8" t="n"/>
      <c r="L21" s="8" t="n"/>
      <c r="M21" s="8" t="n"/>
      <c r="N21" s="8" t="n">
        <v>500</v>
      </c>
      <c r="O21" s="8" t="inlineStr">
        <is>
          <t>pieces (digital print; 10,000 pieces for gravure)</t>
        </is>
      </c>
      <c r="P21" s="8" t="inlineStr">
        <is>
          <t>Not published</t>
        </is>
      </c>
      <c r="Q21" s="8" t="inlineStr">
        <is>
          <t>Custom</t>
        </is>
      </c>
      <c r="R21" s="8" t="inlineStr">
        <is>
          <t>No</t>
        </is>
      </c>
      <c r="S21" s="8" t="inlineStr">
        <is>
          <t>/partners/daehung-pack/products-2025.pdf</t>
        </is>
      </c>
      <c r="T21" s="8" t="inlineStr">
        <is>
          <t>/partners/daehung-pack/refill-pack.jpg</t>
        </is>
      </c>
      <c r="U21" s="8" t="inlineStr">
        <is>
          <t>2026-10-10</t>
        </is>
      </c>
      <c r="V21" s="13" t="inlineStr">
        <is>
          <t>From Daehung Pack's 2025 product catalog (partner-supplied, 2026-10-10). Ideal for bulk liquids, cosmetics, oils and cleaning supplies. Print: digital or gravure. Colours: up to 10. Setup: none for digital; printing cylinders required for gravure. No price published — quote on request.</t>
        </is>
      </c>
    </row>
    <row r="22">
      <c r="A22" s="8" t="inlineStr">
        <is>
          <t>Custom Printed Roll Stock Film</t>
        </is>
      </c>
      <c r="B22" s="8" t="inlineStr">
        <is>
          <t>cmv1z36nx004yacu9o9sp7f0i</t>
        </is>
      </c>
      <c r="C22" s="8" t="inlineStr">
        <is>
          <t>Daehung Pack</t>
        </is>
      </c>
      <c r="D22" s="8" t="inlineStr">
        <is>
          <t>Yes</t>
        </is>
      </c>
      <c r="E22" s="8" t="inlineStr">
        <is>
          <t>Quote only</t>
        </is>
      </c>
      <c r="F22" s="8" t="inlineStr">
        <is>
          <t>Flexible Film Rollstock &amp; Flow Wrap</t>
        </is>
      </c>
      <c r="G22" s="8" t="n"/>
      <c r="H22" s="8" t="inlineStr">
        <is>
          <t>Printed flexible laminate</t>
        </is>
      </c>
      <c r="I22" s="8" t="inlineStr">
        <is>
          <t>Quote only</t>
        </is>
      </c>
      <c r="J22" s="8" t="inlineStr">
        <is>
          <t>Ask the supplier</t>
        </is>
      </c>
      <c r="K22" s="8" t="n"/>
      <c r="L22" s="8" t="n"/>
      <c r="M22" s="8" t="n"/>
      <c r="N22" s="8" t="n">
        <v>1</v>
      </c>
      <c r="O22" s="8" t="inlineStr">
        <is>
          <t>roll (digital print; 5 rolls for gravure)</t>
        </is>
      </c>
      <c r="P22" s="8" t="inlineStr">
        <is>
          <t>Not published</t>
        </is>
      </c>
      <c r="Q22" s="8" t="inlineStr">
        <is>
          <t>Custom</t>
        </is>
      </c>
      <c r="R22" s="8" t="inlineStr">
        <is>
          <t>No</t>
        </is>
      </c>
      <c r="S22" s="8" t="inlineStr">
        <is>
          <t>/partners/daehung-pack/products-2025.pdf</t>
        </is>
      </c>
      <c r="T22" s="8" t="inlineStr">
        <is>
          <t>/partners/daehung-pack/rollstock.jpg</t>
        </is>
      </c>
      <c r="U22" s="8" t="inlineStr">
        <is>
          <t>2026-10-10</t>
        </is>
      </c>
      <c r="V22" s="13" t="inlineStr">
        <is>
          <t>From Daehung Pack's 2025 product catalog (partner-supplied, 2026-10-10). Ideal for various food products and applications. Print: digital or gravure. Colours: up to 10. Setup: none for digital; printing cylinders required for gravure. No price published — quote on request.</t>
        </is>
      </c>
    </row>
    <row r="23">
      <c r="A23" s="8" t="inlineStr">
        <is>
          <t>Custom Printed Side Gusset Pouch</t>
        </is>
      </c>
      <c r="B23" s="8" t="inlineStr">
        <is>
          <t>cmv1z31q2004oacu9w0tkdqxj</t>
        </is>
      </c>
      <c r="C23" s="8" t="inlineStr">
        <is>
          <t>Daehung Pack</t>
        </is>
      </c>
      <c r="D23" s="8" t="inlineStr">
        <is>
          <t>Yes</t>
        </is>
      </c>
      <c r="E23" s="8" t="inlineStr">
        <is>
          <t>Quote only</t>
        </is>
      </c>
      <c r="F23" s="8" t="inlineStr">
        <is>
          <t>Flexible Pouches &amp; Bags</t>
        </is>
      </c>
      <c r="G23" s="8" t="inlineStr">
        <is>
          <t>Side gusset pouch</t>
        </is>
      </c>
      <c r="H23" s="8" t="inlineStr">
        <is>
          <t>Printed flexible laminate</t>
        </is>
      </c>
      <c r="I23" s="8" t="inlineStr">
        <is>
          <t>Quote only</t>
        </is>
      </c>
      <c r="J23" s="8" t="inlineStr">
        <is>
          <t>Ask the supplier</t>
        </is>
      </c>
      <c r="K23" s="8" t="n"/>
      <c r="L23" s="8" t="n"/>
      <c r="M23" s="8" t="n"/>
      <c r="N23" s="8" t="n">
        <v>500</v>
      </c>
      <c r="O23" s="8" t="inlineStr">
        <is>
          <t>pieces (digital print; 10,000 pieces for gravure)</t>
        </is>
      </c>
      <c r="P23" s="8" t="inlineStr">
        <is>
          <t>Not published</t>
        </is>
      </c>
      <c r="Q23" s="8" t="inlineStr">
        <is>
          <t>Custom</t>
        </is>
      </c>
      <c r="R23" s="8" t="inlineStr">
        <is>
          <t>No</t>
        </is>
      </c>
      <c r="S23" s="8" t="inlineStr">
        <is>
          <t>/partners/daehung-pack/products-2025.pdf</t>
        </is>
      </c>
      <c r="T23" s="8" t="inlineStr">
        <is>
          <t>/partners/daehung-pack/side-gusset-pouch.jpg</t>
        </is>
      </c>
      <c r="U23" s="8" t="inlineStr">
        <is>
          <t>2026-10-10</t>
        </is>
      </c>
      <c r="V23" s="13" t="inlineStr">
        <is>
          <t>From Daehung Pack's 2025 product catalog (partner-supplied, 2026-10-10). Ideal for coffee, pet food, legumes, powders, stock feeds and ingredient mixes. Print: digital or gravure. Colours: up to 10. Setup: none for digital; printing cylinders required for gravure. No price published — quote on request.</t>
        </is>
      </c>
    </row>
    <row r="24">
      <c r="A24" s="8" t="inlineStr">
        <is>
          <t>Custom Printed Spout Pouch</t>
        </is>
      </c>
      <c r="B24" s="8" t="inlineStr">
        <is>
          <t>cmv1z32po004qacu90pgemx7g</t>
        </is>
      </c>
      <c r="C24" s="8" t="inlineStr">
        <is>
          <t>Daehung Pack</t>
        </is>
      </c>
      <c r="D24" s="8" t="inlineStr">
        <is>
          <t>Yes</t>
        </is>
      </c>
      <c r="E24" s="8" t="inlineStr">
        <is>
          <t>Quote only</t>
        </is>
      </c>
      <c r="F24" s="8" t="inlineStr">
        <is>
          <t>Flexible Pouches &amp; Bags</t>
        </is>
      </c>
      <c r="G24" s="8" t="inlineStr">
        <is>
          <t>Spout pouch</t>
        </is>
      </c>
      <c r="H24" s="8" t="inlineStr">
        <is>
          <t>Printed flexible laminate</t>
        </is>
      </c>
      <c r="I24" s="8" t="inlineStr">
        <is>
          <t>Quote only</t>
        </is>
      </c>
      <c r="J24" s="8" t="inlineStr">
        <is>
          <t>Ask the supplier</t>
        </is>
      </c>
      <c r="K24" s="8" t="n"/>
      <c r="L24" s="8" t="n"/>
      <c r="M24" s="8" t="n"/>
      <c r="N24" s="8" t="n">
        <v>500</v>
      </c>
      <c r="O24" s="8" t="inlineStr">
        <is>
          <t>pieces (digital print; 10,000 pieces for gravure)</t>
        </is>
      </c>
      <c r="P24" s="8" t="inlineStr">
        <is>
          <t>Not published</t>
        </is>
      </c>
      <c r="Q24" s="8" t="inlineStr">
        <is>
          <t>Custom</t>
        </is>
      </c>
      <c r="R24" s="8" t="inlineStr">
        <is>
          <t>No</t>
        </is>
      </c>
      <c r="S24" s="8" t="inlineStr">
        <is>
          <t>/partners/daehung-pack/products-2025.pdf</t>
        </is>
      </c>
      <c r="T24" s="8" t="inlineStr">
        <is>
          <t>/partners/daehung-pack/spout-pouch.jpg</t>
        </is>
      </c>
      <c r="U24" s="8" t="inlineStr">
        <is>
          <t>2026-10-10</t>
        </is>
      </c>
      <c r="V24" s="13" t="inlineStr">
        <is>
          <t>From Daehung Pack's 2025 product catalog (partner-supplied, 2026-10-10). Ideal for baby food, stocks, sauces, syrups, liquids and drinks. Print: digital or gravure. Colours: up to 10. Setup: none for digital; printing cylinders required for gravure. No price published — quote on request.</t>
        </is>
      </c>
    </row>
    <row r="25">
      <c r="A25" s="8" t="inlineStr">
        <is>
          <t>Custom Printed Stand-Up Pouch</t>
        </is>
      </c>
      <c r="B25" s="8" t="inlineStr">
        <is>
          <t>cmv1z2yr0004iacu97l7ql9he</t>
        </is>
      </c>
      <c r="C25" s="8" t="inlineStr">
        <is>
          <t>Daehung Pack</t>
        </is>
      </c>
      <c r="D25" s="8" t="inlineStr">
        <is>
          <t>Yes</t>
        </is>
      </c>
      <c r="E25" s="8" t="inlineStr">
        <is>
          <t>Quote only</t>
        </is>
      </c>
      <c r="F25" s="8" t="inlineStr">
        <is>
          <t>Flexible Pouches &amp; Bags</t>
        </is>
      </c>
      <c r="G25" s="8" t="inlineStr">
        <is>
          <t>Stand-up pouch</t>
        </is>
      </c>
      <c r="H25" s="8" t="inlineStr">
        <is>
          <t>Printed flexible laminate</t>
        </is>
      </c>
      <c r="I25" s="8" t="inlineStr">
        <is>
          <t>Quote only</t>
        </is>
      </c>
      <c r="J25" s="8" t="inlineStr">
        <is>
          <t>Ask the supplier</t>
        </is>
      </c>
      <c r="K25" s="8" t="n"/>
      <c r="L25" s="8" t="n"/>
      <c r="M25" s="8" t="n"/>
      <c r="N25" s="8" t="n">
        <v>500</v>
      </c>
      <c r="O25" s="8" t="inlineStr">
        <is>
          <t>pieces (digital print; 10,000 pieces for gravure)</t>
        </is>
      </c>
      <c r="P25" s="8" t="inlineStr">
        <is>
          <t>Not published</t>
        </is>
      </c>
      <c r="Q25" s="8" t="inlineStr">
        <is>
          <t>Custom</t>
        </is>
      </c>
      <c r="R25" s="8" t="inlineStr">
        <is>
          <t>No</t>
        </is>
      </c>
      <c r="S25" s="8" t="inlineStr">
        <is>
          <t>/partners/daehung-pack/products-2025.pdf</t>
        </is>
      </c>
      <c r="T25" s="8" t="inlineStr">
        <is>
          <t>/partners/daehung-pack/stand-up-pouch.jpg</t>
        </is>
      </c>
      <c r="U25" s="8" t="inlineStr">
        <is>
          <t>2026-10-10</t>
        </is>
      </c>
      <c r="V25" s="13" t="inlineStr">
        <is>
          <t>From Daehung Pack's 2025 product catalog (partner-supplied, 2026-10-10). Ideal for dry goods, baking mixes, cereals, pasta, soups and liquids. Print: digital or gravure. Colours: up to 10. Setup: none for digital; printing cylinders required for gravure. No price published — quote on request.</t>
        </is>
      </c>
    </row>
    <row r="26">
      <c r="A26" s="8" t="inlineStr">
        <is>
          <t>Custom Printed Vacuum Pouch</t>
        </is>
      </c>
      <c r="B26" s="8" t="inlineStr">
        <is>
          <t>cmv1z33pb004sacu9agfpsnuz</t>
        </is>
      </c>
      <c r="C26" s="8" t="inlineStr">
        <is>
          <t>Daehung Pack</t>
        </is>
      </c>
      <c r="D26" s="8" t="inlineStr">
        <is>
          <t>Yes</t>
        </is>
      </c>
      <c r="E26" s="8" t="inlineStr">
        <is>
          <t>Quote only</t>
        </is>
      </c>
      <c r="F26" s="8" t="inlineStr">
        <is>
          <t>Flexible Pouches &amp; Bags</t>
        </is>
      </c>
      <c r="G26" s="8" t="inlineStr">
        <is>
          <t>Vacuum pouch</t>
        </is>
      </c>
      <c r="H26" s="8" t="inlineStr">
        <is>
          <t>Printed flexible laminate</t>
        </is>
      </c>
      <c r="I26" s="8" t="inlineStr">
        <is>
          <t>Quote only</t>
        </is>
      </c>
      <c r="J26" s="8" t="inlineStr">
        <is>
          <t>Ask the supplier</t>
        </is>
      </c>
      <c r="K26" s="8" t="n"/>
      <c r="L26" s="8" t="n"/>
      <c r="M26" s="8" t="n"/>
      <c r="N26" s="8" t="n">
        <v>500</v>
      </c>
      <c r="O26" s="8" t="inlineStr">
        <is>
          <t>pieces (digital print; 10,000 pieces for gravure)</t>
        </is>
      </c>
      <c r="P26" s="8" t="inlineStr">
        <is>
          <t>Not published</t>
        </is>
      </c>
      <c r="Q26" s="8" t="inlineStr">
        <is>
          <t>Custom</t>
        </is>
      </c>
      <c r="R26" s="8" t="inlineStr">
        <is>
          <t>No</t>
        </is>
      </c>
      <c r="S26" s="8" t="inlineStr">
        <is>
          <t>/partners/daehung-pack/products-2025.pdf</t>
        </is>
      </c>
      <c r="T26" s="8" t="inlineStr">
        <is>
          <t>/partners/daehung-pack/vacuum-pouch.jpg</t>
        </is>
      </c>
      <c r="U26" s="8" t="inlineStr">
        <is>
          <t>2026-10-10</t>
        </is>
      </c>
      <c r="V26" s="13" t="inlineStr">
        <is>
          <t>From Daehung Pack's 2025 product catalog (partner-supplied, 2026-10-10). Ideal for salmon, cold meats, cheese and breads. Print: digital or gravure. Colours: up to 10. Setup: none for digital; printing cylinders required for gravure. No price published — quote on request.</t>
        </is>
      </c>
    </row>
    <row r="27">
      <c r="A27" s="8" t="inlineStr">
        <is>
          <t>Matte Black Flat-Bottom Coffee Bag</t>
        </is>
      </c>
      <c r="B27" s="8" t="inlineStr">
        <is>
          <t>cmv1z3clp005aacu9b2cantqg</t>
        </is>
      </c>
      <c r="C27" s="8" t="inlineStr">
        <is>
          <t>Daehung Pack</t>
        </is>
      </c>
      <c r="D27" s="8" t="inlineStr">
        <is>
          <t>Yes</t>
        </is>
      </c>
      <c r="E27" s="8" t="inlineStr">
        <is>
          <t>Quote only</t>
        </is>
      </c>
      <c r="F27" s="8" t="inlineStr">
        <is>
          <t>Flexible Pouches &amp; Bags</t>
        </is>
      </c>
      <c r="G27" s="8" t="inlineStr">
        <is>
          <t>Flat-bottom pouch</t>
        </is>
      </c>
      <c r="H27" s="8" t="inlineStr">
        <is>
          <t>Printed flexible laminate</t>
        </is>
      </c>
      <c r="I27" s="8" t="inlineStr">
        <is>
          <t>Quote only</t>
        </is>
      </c>
      <c r="J27" s="8" t="inlineStr">
        <is>
          <t>Ask the supplier</t>
        </is>
      </c>
      <c r="K27" s="8" t="n"/>
      <c r="L27" s="8" t="n"/>
      <c r="M27" s="8" t="n"/>
      <c r="N27" s="8" t="inlineStr">
        <is>
          <t>Not published</t>
        </is>
      </c>
      <c r="O27" s="8" t="n"/>
      <c r="P27" s="8" t="inlineStr">
        <is>
          <t>Not published</t>
        </is>
      </c>
      <c r="Q27" s="8" t="inlineStr">
        <is>
          <t>Custom</t>
        </is>
      </c>
      <c r="R27" s="8" t="inlineStr">
        <is>
          <t>No</t>
        </is>
      </c>
      <c r="S27" s="8" t="inlineStr">
        <is>
          <t>/partners/daehung-pack/company-profile.pdf</t>
        </is>
      </c>
      <c r="T27" s="8" t="inlineStr">
        <is>
          <t>/partners/daehung-pack/flat-bottom-coffee-bag.jpg</t>
        </is>
      </c>
      <c r="U27" s="8" t="inlineStr">
        <is>
          <t>2026-10-10</t>
        </is>
      </c>
      <c r="V27" s="13" t="inlineStr">
        <is>
          <t>From Daehung Pack's company presentation (partner-supplied, 2026-10-10). Matte black flat-bottom bag shown with Daehung Pack branding. No price, minimum or lead time stated for this format — quote on request.</t>
        </is>
      </c>
    </row>
    <row r="28">
      <c r="A28" s="8" t="inlineStr">
        <is>
          <t>Specialty Paper Pouch</t>
        </is>
      </c>
      <c r="B28" s="8" t="inlineStr">
        <is>
          <t>cmv1z3als0056acu90l7vywxq</t>
        </is>
      </c>
      <c r="C28" s="8" t="inlineStr">
        <is>
          <t>Daehung Pack</t>
        </is>
      </c>
      <c r="D28" s="8" t="inlineStr">
        <is>
          <t>Yes</t>
        </is>
      </c>
      <c r="E28" s="8" t="inlineStr">
        <is>
          <t>Quote only</t>
        </is>
      </c>
      <c r="F28" s="8" t="inlineStr">
        <is>
          <t>Flexible Pouches &amp; Bags</t>
        </is>
      </c>
      <c r="G28" s="8" t="inlineStr">
        <is>
          <t>Paper pouch</t>
        </is>
      </c>
      <c r="H28" s="8" t="inlineStr">
        <is>
          <t>Printed flexible laminate</t>
        </is>
      </c>
      <c r="I28" s="8" t="inlineStr">
        <is>
          <t>Quote only</t>
        </is>
      </c>
      <c r="J28" s="8" t="inlineStr">
        <is>
          <t>Ask the supplier</t>
        </is>
      </c>
      <c r="K28" s="8" t="n"/>
      <c r="L28" s="8" t="n"/>
      <c r="M28" s="8" t="n"/>
      <c r="N28" s="8" t="inlineStr">
        <is>
          <t>Not published</t>
        </is>
      </c>
      <c r="O28" s="8" t="n"/>
      <c r="P28" s="8" t="inlineStr">
        <is>
          <t>Not published</t>
        </is>
      </c>
      <c r="Q28" s="8" t="inlineStr">
        <is>
          <t>Custom</t>
        </is>
      </c>
      <c r="R28" s="8" t="inlineStr">
        <is>
          <t>No</t>
        </is>
      </c>
      <c r="S28" s="8" t="inlineStr">
        <is>
          <t>/partners/daehung-pack/company-profile.pdf</t>
        </is>
      </c>
      <c r="T28" s="8" t="inlineStr">
        <is>
          <t>/partners/daehung-pack/specialty-paper.jpg</t>
        </is>
      </c>
      <c r="U28" s="8" t="inlineStr">
        <is>
          <t>2026-10-10</t>
        </is>
      </c>
      <c r="V28" s="13" t="inlineStr">
        <is>
          <t>From Daehung Pack's company presentation (partner-supplied, 2026-10-10). Pouches in coloured specialty paper finishes. No price, minimum or lead time stated for this format — quote on request.</t>
        </is>
      </c>
    </row>
    <row r="29">
      <c r="A29" s="8" t="inlineStr">
        <is>
          <t>Transparent High-Barrier Pouch</t>
        </is>
      </c>
      <c r="B29" s="8" t="inlineStr">
        <is>
          <t>cmv1z39m70054acu9l59373tz</t>
        </is>
      </c>
      <c r="C29" s="8" t="inlineStr">
        <is>
          <t>Daehung Pack</t>
        </is>
      </c>
      <c r="D29" s="8" t="inlineStr">
        <is>
          <t>Yes</t>
        </is>
      </c>
      <c r="E29" s="8" t="inlineStr">
        <is>
          <t>Quote only</t>
        </is>
      </c>
      <c r="F29" s="8" t="inlineStr">
        <is>
          <t>Flexible Pouches &amp; Bags</t>
        </is>
      </c>
      <c r="G29" s="8" t="inlineStr">
        <is>
          <t>High-barrier pouch</t>
        </is>
      </c>
      <c r="H29" s="8" t="inlineStr">
        <is>
          <t>Printed flexible laminate</t>
        </is>
      </c>
      <c r="I29" s="8" t="inlineStr">
        <is>
          <t>Quote only</t>
        </is>
      </c>
      <c r="J29" s="8" t="inlineStr">
        <is>
          <t>Ask the supplier</t>
        </is>
      </c>
      <c r="K29" s="8" t="n"/>
      <c r="L29" s="8" t="n"/>
      <c r="M29" s="8" t="n"/>
      <c r="N29" s="8" t="inlineStr">
        <is>
          <t>Not published</t>
        </is>
      </c>
      <c r="O29" s="8" t="n"/>
      <c r="P29" s="8" t="inlineStr">
        <is>
          <t>Not published</t>
        </is>
      </c>
      <c r="Q29" s="8" t="inlineStr">
        <is>
          <t>Custom</t>
        </is>
      </c>
      <c r="R29" s="8" t="inlineStr">
        <is>
          <t>No</t>
        </is>
      </c>
      <c r="S29" s="8" t="inlineStr">
        <is>
          <t>/partners/daehung-pack/company-profile.pdf</t>
        </is>
      </c>
      <c r="T29" s="8" t="inlineStr">
        <is>
          <t>/partners/daehung-pack/high-barrier-clear.jpg</t>
        </is>
      </c>
      <c r="U29" s="8" t="inlineStr">
        <is>
          <t>2026-10-10</t>
        </is>
      </c>
      <c r="V29" s="13" t="inlineStr">
        <is>
          <t>From Daehung Pack's company presentation (partner-supplied, 2026-10-10). Clear high-barrier pouch with printed panel. No price, minimum or lead time stated for this format — quote on request.</t>
        </is>
      </c>
    </row>
    <row r="30">
      <c r="A30" s="8" t="inlineStr">
        <is>
          <t>UV-Printed Roll Film</t>
        </is>
      </c>
      <c r="B30" s="8" t="inlineStr">
        <is>
          <t>cmv1z3dlp005cacu9u3dq7md9</t>
        </is>
      </c>
      <c r="C30" s="8" t="inlineStr">
        <is>
          <t>Daehung Pack</t>
        </is>
      </c>
      <c r="D30" s="8" t="inlineStr">
        <is>
          <t>Yes</t>
        </is>
      </c>
      <c r="E30" s="8" t="inlineStr">
        <is>
          <t>Quote only</t>
        </is>
      </c>
      <c r="F30" s="8" t="inlineStr">
        <is>
          <t>Flexible Film Rollstock &amp; Flow Wrap</t>
        </is>
      </c>
      <c r="G30" s="8" t="n"/>
      <c r="H30" s="8" t="inlineStr">
        <is>
          <t>Printed flexible laminate</t>
        </is>
      </c>
      <c r="I30" s="8" t="inlineStr">
        <is>
          <t>Quote only</t>
        </is>
      </c>
      <c r="J30" s="8" t="inlineStr">
        <is>
          <t>Ask the supplier</t>
        </is>
      </c>
      <c r="K30" s="8" t="n"/>
      <c r="L30" s="8" t="n"/>
      <c r="M30" s="8" t="n"/>
      <c r="N30" s="8" t="inlineStr">
        <is>
          <t>Not published</t>
        </is>
      </c>
      <c r="O30" s="8" t="n"/>
      <c r="P30" s="8" t="inlineStr">
        <is>
          <t>Not published</t>
        </is>
      </c>
      <c r="Q30" s="8" t="inlineStr">
        <is>
          <t>Custom</t>
        </is>
      </c>
      <c r="R30" s="8" t="inlineStr">
        <is>
          <t>No</t>
        </is>
      </c>
      <c r="S30" s="8" t="inlineStr">
        <is>
          <t>/partners/daehung-pack/company-profile.pdf</t>
        </is>
      </c>
      <c r="T30" s="8" t="inlineStr">
        <is>
          <t>/partners/daehung-pack/uv-printed-film.jpg</t>
        </is>
      </c>
      <c r="U30" s="8" t="inlineStr">
        <is>
          <t>2026-10-10</t>
        </is>
      </c>
      <c r="V30" s="13" t="inlineStr">
        <is>
          <t>From Daehung Pack's company presentation (partner-supplied, 2026-10-10). Roll film with UV spot printing. No price, minimum or lead time stated for this format — quote on request.</t>
        </is>
      </c>
    </row>
    <row r="31">
      <c r="A31" s="10" t="inlineStr">
        <is>
          <t>16oz (480ml) Amber Boston Round Glass Bottle — 28-400 Neck</t>
        </is>
      </c>
      <c r="B31" s="10" t="inlineStr">
        <is>
          <t>cmuppwujc000y0wu9ots84qji</t>
        </is>
      </c>
      <c r="C31" s="10" t="inlineStr">
        <is>
          <t>BottleStore.com (O.Berk Company)</t>
        </is>
      </c>
      <c r="D31" s="10" t="inlineStr">
        <is>
          <t>No</t>
        </is>
      </c>
      <c r="E31" s="10" t="inlineStr">
        <is>
          <t>Recommended</t>
        </is>
      </c>
      <c r="F31" s="10" t="inlineStr">
        <is>
          <t>Glass Bottles</t>
        </is>
      </c>
      <c r="G31" s="10" t="inlineStr">
        <is>
          <t>Boston round</t>
        </is>
      </c>
      <c r="H31" s="10" t="inlineStr">
        <is>
          <t>Glass (amber soda-lime)</t>
        </is>
      </c>
      <c r="I31" s="10" t="inlineStr">
        <is>
          <t>Exact price</t>
        </is>
      </c>
      <c r="J31" s="14" t="n">
        <v>0.91</v>
      </c>
      <c r="K31" s="10" t="inlineStr">
        <is>
          <t>USD</t>
        </is>
      </c>
      <c r="L31" s="10" t="inlineStr">
        <is>
          <t>per piece (USD; carton of 12 at $10.92)</t>
        </is>
      </c>
      <c r="M31" s="10" t="n"/>
      <c r="N31" s="10" t="n">
        <v>12</v>
      </c>
      <c r="O31" s="10" t="inlineStr">
        <is>
          <t>pieces (1 carton; carton pack 12)</t>
        </is>
      </c>
      <c r="P31" s="10" t="inlineStr">
        <is>
          <t>Not published</t>
        </is>
      </c>
      <c r="Q31" s="10" t="inlineStr">
        <is>
          <t>Stock</t>
        </is>
      </c>
      <c r="R31" s="10" t="inlineStr">
        <is>
          <t>No</t>
        </is>
      </c>
      <c r="S31" s="11" t="inlineStr">
        <is>
          <t>https://www.bottlestore.com/16oz-amber-boston-round-glass-bottle-12-pack-28-400-neck.html</t>
        </is>
      </c>
      <c r="T31" s="10" t="inlineStr">
        <is>
          <t>/products/glass-bottle-amber.png</t>
        </is>
      </c>
      <c r="U31" s="10" t="inlineStr">
        <is>
          <t>2026-09-21</t>
        </is>
      </c>
      <c r="V31" s="15" t="inlineStr">
        <is>
          <t>Verbatim (2026-09-21): "$ 0.91 (Per Piece) 12 Pieces per Carton; $10.92 (Per Carton); Buy 80 cartons for $10.18 each and save 7%; Buy 160 cartons for $9.36 each and save 14%; Buy 480 cartons for $9.31 each and save 15%" — volume tiers are per-carton prices (carton pack 12); per-piece tier figures are not published, so tiers stay out of the quantity-break table.</t>
        </is>
      </c>
    </row>
    <row r="32">
      <c r="A32" s="10" t="inlineStr">
        <is>
          <t>2oz (60ml) Flint (Clear) Big Bead Boston Round Glass Bottle — 20-400 Neck</t>
        </is>
      </c>
      <c r="B32" s="10" t="inlineStr">
        <is>
          <t>cmuppwvkm00100wu97nz10lze</t>
        </is>
      </c>
      <c r="C32" s="10" t="inlineStr">
        <is>
          <t>BottleStore.com (O.Berk Company)</t>
        </is>
      </c>
      <c r="D32" s="10" t="inlineStr">
        <is>
          <t>No</t>
        </is>
      </c>
      <c r="E32" s="10" t="inlineStr">
        <is>
          <t>Recommended</t>
        </is>
      </c>
      <c r="F32" s="10" t="inlineStr">
        <is>
          <t>Glass Bottles</t>
        </is>
      </c>
      <c r="G32" s="10" t="inlineStr">
        <is>
          <t>Boston round</t>
        </is>
      </c>
      <c r="H32" s="10" t="inlineStr">
        <is>
          <t>Glass (flint soda-lime)</t>
        </is>
      </c>
      <c r="I32" s="10" t="inlineStr">
        <is>
          <t>Exact price</t>
        </is>
      </c>
      <c r="J32" s="14" t="n">
        <v>0.2</v>
      </c>
      <c r="K32" s="10" t="inlineStr">
        <is>
          <t>USD</t>
        </is>
      </c>
      <c r="L32" s="10" t="inlineStr">
        <is>
          <t>per piece (USD; carton of 240; tiers quoted per carton)</t>
        </is>
      </c>
      <c r="M32" s="10" t="n"/>
      <c r="N32" s="10" t="n">
        <v>240</v>
      </c>
      <c r="O32" s="10" t="inlineStr">
        <is>
          <t>pieces (1 carton; carton pack 240)</t>
        </is>
      </c>
      <c r="P32" s="10" t="inlineStr">
        <is>
          <t>Not published</t>
        </is>
      </c>
      <c r="Q32" s="10" t="inlineStr">
        <is>
          <t>Stock</t>
        </is>
      </c>
      <c r="R32" s="10" t="inlineStr">
        <is>
          <t>No</t>
        </is>
      </c>
      <c r="S32" s="11" t="inlineStr">
        <is>
          <t>https://www.bottlestore.com/2oz-flint-boston-round-glass-bottle-20-400-neck.html</t>
        </is>
      </c>
      <c r="T32" s="10" t="inlineStr">
        <is>
          <t>/products/glass-bottle.png</t>
        </is>
      </c>
      <c r="U32" s="10" t="inlineStr">
        <is>
          <t>2026-09-21</t>
        </is>
      </c>
      <c r="V32" s="15" t="inlineStr">
        <is>
          <t>Verbatim (2026-09-21): "Price Per $0.20; Buy 28 cartons for $44.90 each and save 6%; Buy 56 cartons for $41.28 each and save 14%; Buy 168 cartons for $39.37 each and save 18%" (per piece $0.20; carton pack 240). Base carton price not shown in the capture.</t>
        </is>
      </c>
    </row>
    <row r="33">
      <c r="A33" s="10" t="inlineStr">
        <is>
          <t>4oz (120ml) Amber Boston Round Glass Bottle — 22-405 Neck</t>
        </is>
      </c>
      <c r="B33" s="10" t="inlineStr">
        <is>
          <t>cmuppwwly00120wu96rnu8oal</t>
        </is>
      </c>
      <c r="C33" s="10" t="inlineStr">
        <is>
          <t>BottleStore.com (O.Berk Company)</t>
        </is>
      </c>
      <c r="D33" s="10" t="inlineStr">
        <is>
          <t>No</t>
        </is>
      </c>
      <c r="E33" s="10" t="inlineStr">
        <is>
          <t>Recommended</t>
        </is>
      </c>
      <c r="F33" s="10" t="inlineStr">
        <is>
          <t>Glass Bottles</t>
        </is>
      </c>
      <c r="G33" s="10" t="inlineStr">
        <is>
          <t>Boston round</t>
        </is>
      </c>
      <c r="H33" s="10" t="inlineStr">
        <is>
          <t>Glass (amber soda-lime)</t>
        </is>
      </c>
      <c r="I33" s="10" t="inlineStr">
        <is>
          <t>Exact price</t>
        </is>
      </c>
      <c r="J33" s="14" t="n">
        <v>59.2</v>
      </c>
      <c r="K33" s="10" t="inlineStr">
        <is>
          <t>USD</t>
        </is>
      </c>
      <c r="L33" s="10" t="inlineStr">
        <is>
          <t>per carton of 160 pieces (USD)</t>
        </is>
      </c>
      <c r="M33" s="14" t="n">
        <v>0.37</v>
      </c>
      <c r="N33" s="10" t="n">
        <v>160</v>
      </c>
      <c r="O33" s="10" t="inlineStr">
        <is>
          <t>pieces (1 carton; carton pack 160)</t>
        </is>
      </c>
      <c r="P33" s="10" t="inlineStr">
        <is>
          <t>Not published</t>
        </is>
      </c>
      <c r="Q33" s="10" t="inlineStr">
        <is>
          <t>Stock</t>
        </is>
      </c>
      <c r="R33" s="10" t="inlineStr">
        <is>
          <t>No</t>
        </is>
      </c>
      <c r="S33" s="11" t="inlineStr">
        <is>
          <t>https://www.bottlestore.com/4oz-120ml-amber-boston-round-glass-bottle-22-405.html</t>
        </is>
      </c>
      <c r="T33" s="10" t="inlineStr">
        <is>
          <t>/products/glass-bottle-amber.png</t>
        </is>
      </c>
      <c r="U33" s="10" t="inlineStr">
        <is>
          <t>2026-09-21</t>
        </is>
      </c>
      <c r="V33" s="15" t="inlineStr">
        <is>
          <t>Verbatim (2026-09-21): "$59.20 (Per Carton); Buy 18 cartons for $57.57 each and save 3%; Buy 36 cartons for $55.31 each and save 7%; Buy 108 cartons for $54.03 each and save 9%; Price Per $0.37" (carton pack 160; $0.37 per piece). "Pricing above is for container only. Discount does not apply to closure options."</t>
        </is>
      </c>
    </row>
    <row r="34">
      <c r="A34" s="10" t="inlineStr">
        <is>
          <t>Custom Display Mailer Box (full-color CMYK, 9.5in x 7.75in x 4in)</t>
        </is>
      </c>
      <c r="B34" s="10" t="inlineStr">
        <is>
          <t>cmuppxm1q002u0wu9dwgh6rfq</t>
        </is>
      </c>
      <c r="C34" s="10" t="inlineStr">
        <is>
          <t>BoxUp</t>
        </is>
      </c>
      <c r="D34" s="10" t="inlineStr">
        <is>
          <t>No</t>
        </is>
      </c>
      <c r="E34" s="10" t="inlineStr">
        <is>
          <t>Listed</t>
        </is>
      </c>
      <c r="F34" s="10" t="inlineStr">
        <is>
          <t>Mailers &amp; E-Commerce Shipping</t>
        </is>
      </c>
      <c r="G34" s="10" t="n"/>
      <c r="H34" s="10" t="inlineStr">
        <is>
          <t>Not specified</t>
        </is>
      </c>
      <c r="I34" s="10" t="inlineStr">
        <is>
          <t>Exact price</t>
        </is>
      </c>
      <c r="J34" s="14" t="n">
        <v>4.58</v>
      </c>
      <c r="K34" s="10" t="inlineStr">
        <is>
          <t>USD</t>
        </is>
      </c>
      <c r="L34" s="10" t="inlineStr">
        <is>
          <t>per box at configurator default quantity of 252 (USD)</t>
        </is>
      </c>
      <c r="M34" s="10" t="n"/>
      <c r="N34" s="10" t="n">
        <v>1</v>
      </c>
      <c r="O34" s="10" t="inlineStr">
        <is>
          <t>box ('No Minimums'; quantity-1 proofs available)</t>
        </is>
      </c>
      <c r="P34" s="10" t="inlineStr">
        <is>
          <t>Not published</t>
        </is>
      </c>
      <c r="Q34" s="10" t="inlineStr">
        <is>
          <t>Custom</t>
        </is>
      </c>
      <c r="R34" s="10" t="inlineStr">
        <is>
          <t>Yes</t>
        </is>
      </c>
      <c r="S34" s="11" t="inlineStr">
        <is>
          <t>https://www.boxup.com/product/display-mailer-box</t>
        </is>
      </c>
      <c r="T34" s="10" t="inlineStr">
        <is>
          <t>/products/mailer-kraft.png</t>
        </is>
      </c>
      <c r="U34" s="10" t="inlineStr">
        <is>
          <t>2026-09-21</t>
        </is>
      </c>
      <c r="V34" s="15" t="inlineStr">
        <is>
          <t>Verbatim (2026-09-21): "$4.58 / each" (per box). Configurator default quantity 252 (Subtotal $1,154.16); "No Minimums", quantity-1 proofs available.</t>
        </is>
      </c>
    </row>
    <row r="35">
      <c r="A35" s="10" t="inlineStr">
        <is>
          <t>Custom Gift Mailer Box (top-tuck, 4in x 4in x 8in)</t>
        </is>
      </c>
      <c r="B35" s="10" t="inlineStr">
        <is>
          <t>cmuppxn35002w0wu9wpctnsch</t>
        </is>
      </c>
      <c r="C35" s="10" t="inlineStr">
        <is>
          <t>BoxUp</t>
        </is>
      </c>
      <c r="D35" s="10" t="inlineStr">
        <is>
          <t>No</t>
        </is>
      </c>
      <c r="E35" s="10" t="inlineStr">
        <is>
          <t>Listed</t>
        </is>
      </c>
      <c r="F35" s="10" t="inlineStr">
        <is>
          <t>Mailers &amp; E-Commerce Shipping</t>
        </is>
      </c>
      <c r="G35" s="10" t="n"/>
      <c r="H35" s="10" t="inlineStr">
        <is>
          <t>Not specified</t>
        </is>
      </c>
      <c r="I35" s="10" t="inlineStr">
        <is>
          <t>Exact price</t>
        </is>
      </c>
      <c r="J35" s="14" t="n">
        <v>1.91</v>
      </c>
      <c r="K35" s="10" t="inlineStr">
        <is>
          <t>USD</t>
        </is>
      </c>
      <c r="L35" s="10" t="inlineStr">
        <is>
          <t>per box at configurator default quantity (USD)</t>
        </is>
      </c>
      <c r="M35" s="10" t="n"/>
      <c r="N35" s="10" t="n">
        <v>1</v>
      </c>
      <c r="O35" s="10" t="inlineStr">
        <is>
          <t>box ('No Minimums')</t>
        </is>
      </c>
      <c r="P35" s="10" t="inlineStr">
        <is>
          <t>Not published</t>
        </is>
      </c>
      <c r="Q35" s="10" t="inlineStr">
        <is>
          <t>Custom</t>
        </is>
      </c>
      <c r="R35" s="10" t="inlineStr">
        <is>
          <t>Yes</t>
        </is>
      </c>
      <c r="S35" s="11" t="inlineStr">
        <is>
          <t>https://www.boxup.com/product/top-open-gift-mailer-box</t>
        </is>
      </c>
      <c r="T35" s="10" t="inlineStr">
        <is>
          <t>/products/mailer-kraft.png</t>
        </is>
      </c>
      <c r="U35" s="10" t="inlineStr">
        <is>
          <t>2026-09-21</t>
        </is>
      </c>
      <c r="V35" s="15" t="inlineStr">
        <is>
          <t>Verbatim (2026-09-21): "$1.91 / each" (per box). Configurator default quantity (Subtotal $481.32); 5 sizes offered; "No Minimums". Captured from Exa's index of the first-party page.</t>
        </is>
      </c>
    </row>
    <row r="36">
      <c r="A36" s="10" t="inlineStr">
        <is>
          <t>Stock Sample Display Mailer (pre-printed or blank)</t>
        </is>
      </c>
      <c r="B36" s="10" t="inlineStr">
        <is>
          <t>cmuppxo4h002y0wu9x4go2nxl</t>
        </is>
      </c>
      <c r="C36" s="10" t="inlineStr">
        <is>
          <t>BoxUp</t>
        </is>
      </c>
      <c r="D36" s="10" t="inlineStr">
        <is>
          <t>No</t>
        </is>
      </c>
      <c r="E36" s="10" t="inlineStr">
        <is>
          <t>Listed</t>
        </is>
      </c>
      <c r="F36" s="10" t="inlineStr">
        <is>
          <t>Mailers &amp; E-Commerce Shipping</t>
        </is>
      </c>
      <c r="G36" s="10" t="n"/>
      <c r="H36" s="10" t="inlineStr">
        <is>
          <t>Not specified</t>
        </is>
      </c>
      <c r="I36" s="10" t="inlineStr">
        <is>
          <t>Exact price</t>
        </is>
      </c>
      <c r="J36" s="14" t="n">
        <v>1</v>
      </c>
      <c r="K36" s="10" t="inlineStr">
        <is>
          <t>USD</t>
        </is>
      </c>
      <c r="L36" s="10" t="inlineStr">
        <is>
          <t>per sample box, plus shipping (USD)</t>
        </is>
      </c>
      <c r="M36" s="10" t="n"/>
      <c r="N36" s="10" t="n">
        <v>1</v>
      </c>
      <c r="O36" s="10" t="inlineStr">
        <is>
          <t>sample box</t>
        </is>
      </c>
      <c r="P36" s="10" t="inlineStr">
        <is>
          <t>Not published</t>
        </is>
      </c>
      <c r="Q36" s="10" t="inlineStr">
        <is>
          <t>Stock</t>
        </is>
      </c>
      <c r="R36" s="10" t="inlineStr">
        <is>
          <t>Yes</t>
        </is>
      </c>
      <c r="S36" s="11" t="inlineStr">
        <is>
          <t>https://www.boxup.com/product/display-mailer-box-sample</t>
        </is>
      </c>
      <c r="T36" s="10" t="inlineStr">
        <is>
          <t>/products/mailer-kraft.png</t>
        </is>
      </c>
      <c r="U36" s="10" t="inlineStr">
        <is>
          <t>2026-09-21</t>
        </is>
      </c>
      <c r="V36" s="15" t="inlineStr">
        <is>
          <t>Verbatim (2026-09-21): "$1, plus shipping" (per sample box). "Order a stock pre-printed or plain blank sample Display Mailer box for only $1, plus shipping."</t>
        </is>
      </c>
    </row>
    <row r="37">
      <c r="A37" s="10" t="inlineStr">
        <is>
          <t>2oz Straight Sided Amber Glass Jars, 53-400 (Case of 24) — SKU 1SSA022GHG</t>
        </is>
      </c>
      <c r="B37" s="10" t="inlineStr">
        <is>
          <t>cmuppx73p00200wu9i357ygm2</t>
        </is>
      </c>
      <c r="C37" s="10" t="inlineStr">
        <is>
          <t>Burch Bottle &amp; Packaging, Inc.</t>
        </is>
      </c>
      <c r="D37" s="10" t="inlineStr">
        <is>
          <t>No</t>
        </is>
      </c>
      <c r="E37" s="10" t="inlineStr">
        <is>
          <t>Recommended</t>
        </is>
      </c>
      <c r="F37" s="10" t="inlineStr">
        <is>
          <t>Glass Jars</t>
        </is>
      </c>
      <c r="G37" s="10" t="inlineStr">
        <is>
          <t>Straight-sided jar</t>
        </is>
      </c>
      <c r="H37" s="10" t="inlineStr">
        <is>
          <t>Glass (amber soda-lime)</t>
        </is>
      </c>
      <c r="I37" s="10" t="inlineStr">
        <is>
          <t>Exact price</t>
        </is>
      </c>
      <c r="J37" s="14" t="n">
        <v>9.15</v>
      </c>
      <c r="K37" s="10" t="inlineStr">
        <is>
          <t>USD</t>
        </is>
      </c>
      <c r="L37" s="10" t="inlineStr">
        <is>
          <t>per case of 24 jars (USD)</t>
        </is>
      </c>
      <c r="M37" s="10" t="n"/>
      <c r="N37" s="10" t="n">
        <v>24</v>
      </c>
      <c r="O37" s="10" t="inlineStr">
        <is>
          <t>jars (1 case)</t>
        </is>
      </c>
      <c r="P37" s="10" t="inlineStr">
        <is>
          <t>Not published</t>
        </is>
      </c>
      <c r="Q37" s="10" t="inlineStr">
        <is>
          <t>Stock</t>
        </is>
      </c>
      <c r="R37" s="10" t="inlineStr">
        <is>
          <t>No</t>
        </is>
      </c>
      <c r="S37" s="11" t="inlineStr">
        <is>
          <t>https://www.burchbottle.com/2oz-Amber-Straight-Sided-Jar-53-400</t>
        </is>
      </c>
      <c r="T37" s="10" t="inlineStr">
        <is>
          <t>/products/glass-jar.png</t>
        </is>
      </c>
      <c r="U37" s="10" t="inlineStr">
        <is>
          <t>2026-09-21</t>
        </is>
      </c>
      <c r="V37" s="15" t="inlineStr">
        <is>
          <t>Verbatim (2026-09-21): "$9.15 / Case; Bulk Pricing: Buy 63 - 441 Cases and pay only $8.11 per Case; Buy 442 - 1767 Cases and pay only $7.30 per Case; Buy 1768 or more Cases and pay only $6.64 per Case" (per case of 24 jars; tiers are per-case prices, so they stay out of the quantity-break table). Pallet quantity 442 cases.</t>
        </is>
      </c>
    </row>
    <row r="38">
      <c r="A38" s="10" t="inlineStr">
        <is>
          <t>4oz Amber Straight Sided Jar — 58/400 Finish (Case of 24)</t>
        </is>
      </c>
      <c r="B38" s="10" t="inlineStr">
        <is>
          <t>cmuppx96s00240wu9wpp49cdt</t>
        </is>
      </c>
      <c r="C38" s="10" t="inlineStr">
        <is>
          <t>Burch Bottle &amp; Packaging, Inc.</t>
        </is>
      </c>
      <c r="D38" s="10" t="inlineStr">
        <is>
          <t>No</t>
        </is>
      </c>
      <c r="E38" s="10" t="inlineStr">
        <is>
          <t>Recommended</t>
        </is>
      </c>
      <c r="F38" s="10" t="inlineStr">
        <is>
          <t>Glass Jars</t>
        </is>
      </c>
      <c r="G38" s="10" t="inlineStr">
        <is>
          <t>Straight-sided jar</t>
        </is>
      </c>
      <c r="H38" s="10" t="inlineStr">
        <is>
          <t>Glass (amber soda-lime)</t>
        </is>
      </c>
      <c r="I38" s="10" t="inlineStr">
        <is>
          <t>Exact price</t>
        </is>
      </c>
      <c r="J38" s="14" t="n">
        <v>13.33</v>
      </c>
      <c r="K38" s="10" t="inlineStr">
        <is>
          <t>USD</t>
        </is>
      </c>
      <c r="L38" s="10" t="inlineStr">
        <is>
          <t>per case of 24 jars (USD)</t>
        </is>
      </c>
      <c r="M38" s="10" t="n"/>
      <c r="N38" s="10" t="n">
        <v>24</v>
      </c>
      <c r="O38" s="10" t="inlineStr">
        <is>
          <t>jars (1 case)</t>
        </is>
      </c>
      <c r="P38" s="10" t="inlineStr">
        <is>
          <t>Not published</t>
        </is>
      </c>
      <c r="Q38" s="10" t="inlineStr">
        <is>
          <t>Stock</t>
        </is>
      </c>
      <c r="R38" s="10" t="inlineStr">
        <is>
          <t>No</t>
        </is>
      </c>
      <c r="S38" s="11" t="inlineStr">
        <is>
          <t>https://www.burchbottle.com/2oz-Amber-Straight-Sided-Jar-53-400</t>
        </is>
      </c>
      <c r="T38" s="10" t="inlineStr">
        <is>
          <t>/products/glass-jar.png</t>
        </is>
      </c>
      <c r="U38" s="10" t="inlineStr">
        <is>
          <t>2026-09-21</t>
        </is>
      </c>
      <c r="V38" s="15" t="inlineStr">
        <is>
          <t>Verbatim (2026-09-21): "$13.33 / Case" (per case of 24 jars); shown as a related product on the live 2 oz jar page.</t>
        </is>
      </c>
    </row>
    <row r="39">
      <c r="A39" s="10" t="inlineStr">
        <is>
          <t>8 oz Flint Boston Round Bottle — 28/400 Finish (Case of 12) — SKU 1BR080211SGC</t>
        </is>
      </c>
      <c r="B39" s="10" t="inlineStr">
        <is>
          <t>cmuppx85900220wu95534as4v</t>
        </is>
      </c>
      <c r="C39" s="10" t="inlineStr">
        <is>
          <t>Burch Bottle &amp; Packaging, Inc.</t>
        </is>
      </c>
      <c r="D39" s="10" t="inlineStr">
        <is>
          <t>No</t>
        </is>
      </c>
      <c r="E39" s="10" t="inlineStr">
        <is>
          <t>Recommended</t>
        </is>
      </c>
      <c r="F39" s="10" t="inlineStr">
        <is>
          <t>Glass Bottles</t>
        </is>
      </c>
      <c r="G39" s="10" t="inlineStr">
        <is>
          <t>Boston round</t>
        </is>
      </c>
      <c r="H39" s="10" t="inlineStr">
        <is>
          <t>Glass (flint soda-lime)</t>
        </is>
      </c>
      <c r="I39" s="10" t="inlineStr">
        <is>
          <t>Exact price</t>
        </is>
      </c>
      <c r="J39" s="14" t="n">
        <v>9.4</v>
      </c>
      <c r="K39" s="10" t="inlineStr">
        <is>
          <t>USD</t>
        </is>
      </c>
      <c r="L39" s="10" t="inlineStr">
        <is>
          <t>per case of 12 bottles (USD)</t>
        </is>
      </c>
      <c r="M39" s="10" t="n"/>
      <c r="N39" s="10" t="n">
        <v>12</v>
      </c>
      <c r="O39" s="10" t="inlineStr">
        <is>
          <t>bottles (1 case)</t>
        </is>
      </c>
      <c r="P39" s="10" t="inlineStr">
        <is>
          <t>Not published</t>
        </is>
      </c>
      <c r="Q39" s="10" t="inlineStr">
        <is>
          <t>Stock</t>
        </is>
      </c>
      <c r="R39" s="10" t="inlineStr">
        <is>
          <t>No</t>
        </is>
      </c>
      <c r="S39" s="11" t="inlineStr">
        <is>
          <t>https://www.burchbottle.com/8oz-Flint-Boston-Round-28-400-2</t>
        </is>
      </c>
      <c r="T39" s="10" t="inlineStr">
        <is>
          <t>/products/glass-bottle.png</t>
        </is>
      </c>
      <c r="U39" s="10" t="inlineStr">
        <is>
          <t>2026-09-21</t>
        </is>
      </c>
      <c r="V39" s="15" t="inlineStr">
        <is>
          <t>Verbatim (2026-09-21): "$9.40 / Case; Buy 82 - 307 Cases and pay only $7.52 per Case; Buy 308 - 1231 Cases and pay only $6.79 per Case; Buy 1232 or more Cases and pay only $6.09 per Case" (per case of 12 bottles). Pallet quantity 154 cases.</t>
        </is>
      </c>
    </row>
    <row r="40">
      <c r="A40" s="10" t="inlineStr">
        <is>
          <t>Deep Metal Tins (range)</t>
        </is>
      </c>
      <c r="B40" s="10" t="inlineStr">
        <is>
          <t>cmuwulyk80083l4u95nflofvf</t>
        </is>
      </c>
      <c r="C40" s="10" t="inlineStr">
        <is>
          <t>Container &amp; Packaging</t>
        </is>
      </c>
      <c r="D40" s="10" t="inlineStr">
        <is>
          <t>No</t>
        </is>
      </c>
      <c r="E40" s="10" t="inlineStr">
        <is>
          <t>Quote only</t>
        </is>
      </c>
      <c r="F40" s="10" t="inlineStr">
        <is>
          <t>Metal Tins</t>
        </is>
      </c>
      <c r="G40" s="10" t="n"/>
      <c r="H40" s="10" t="inlineStr">
        <is>
          <t>Metal (tinplate)</t>
        </is>
      </c>
      <c r="I40" s="10" t="inlineStr">
        <is>
          <t>Quote only</t>
        </is>
      </c>
      <c r="J40" s="10" t="inlineStr">
        <is>
          <t>Ask the supplier</t>
        </is>
      </c>
      <c r="K40" s="10" t="n"/>
      <c r="L40" s="10" t="n"/>
      <c r="M40" s="10" t="n"/>
      <c r="N40" s="10" t="inlineStr">
        <is>
          <t>Not published</t>
        </is>
      </c>
      <c r="O40" s="10" t="n"/>
      <c r="P40" s="10" t="inlineStr">
        <is>
          <t>Not published</t>
        </is>
      </c>
      <c r="Q40" s="10" t="inlineStr">
        <is>
          <t>Stock</t>
        </is>
      </c>
      <c r="R40" s="10" t="inlineStr">
        <is>
          <t>No</t>
        </is>
      </c>
      <c r="S40" s="11" t="inlineStr">
        <is>
          <t>https://www.containerandpackaging.com/catalog/metal-containers/deep-metal-tins/</t>
        </is>
      </c>
      <c r="T40" s="10" t="inlineStr">
        <is>
          <t>/products/metal-tin.png</t>
        </is>
      </c>
      <c r="U40" s="10" t="inlineStr">
        <is>
          <t>2026-10-06</t>
        </is>
      </c>
      <c r="V40" s="15" t="inlineStr">
        <is>
          <t>Captured 2026-10-06: catalog range page; no prices published.</t>
        </is>
      </c>
    </row>
    <row r="41">
      <c r="A41" s="10" t="inlineStr">
        <is>
          <t>Dropper Closures (range)</t>
        </is>
      </c>
      <c r="B41" s="10" t="inlineStr">
        <is>
          <t>cmuwulzmk0087l4u9gaxdieyd</t>
        </is>
      </c>
      <c r="C41" s="10" t="inlineStr">
        <is>
          <t>Container &amp; Packaging</t>
        </is>
      </c>
      <c r="D41" s="10" t="inlineStr">
        <is>
          <t>No</t>
        </is>
      </c>
      <c r="E41" s="10" t="inlineStr">
        <is>
          <t>Quote only</t>
        </is>
      </c>
      <c r="F41" s="10" t="inlineStr">
        <is>
          <t>Dropper Assemblies, Vials &amp; Roll-Ons</t>
        </is>
      </c>
      <c r="G41" s="10" t="n"/>
      <c r="H41" s="10" t="inlineStr">
        <is>
          <t>Glass pipette with plastic bulb</t>
        </is>
      </c>
      <c r="I41" s="10" t="inlineStr">
        <is>
          <t>Quote only</t>
        </is>
      </c>
      <c r="J41" s="10" t="inlineStr">
        <is>
          <t>Ask the supplier</t>
        </is>
      </c>
      <c r="K41" s="10" t="n"/>
      <c r="L41" s="10" t="n"/>
      <c r="M41" s="10" t="n"/>
      <c r="N41" s="10" t="inlineStr">
        <is>
          <t>Not published</t>
        </is>
      </c>
      <c r="O41" s="10" t="n"/>
      <c r="P41" s="10" t="inlineStr">
        <is>
          <t>Not published</t>
        </is>
      </c>
      <c r="Q41" s="10" t="inlineStr">
        <is>
          <t>Stock</t>
        </is>
      </c>
      <c r="R41" s="10" t="inlineStr">
        <is>
          <t>No</t>
        </is>
      </c>
      <c r="S41" s="11" t="inlineStr">
        <is>
          <t>https://www.containerandpackaging.com/catalog/closures/droppers/</t>
        </is>
      </c>
      <c r="T41" s="10" t="inlineStr">
        <is>
          <t>/products/dropper-vial.png</t>
        </is>
      </c>
      <c r="U41" s="10" t="inlineStr">
        <is>
          <t>2026-10-06</t>
        </is>
      </c>
      <c r="V41" s="15" t="inlineStr">
        <is>
          <t>Captured 2026-10-06: catalog range page; no prices published.</t>
        </is>
      </c>
    </row>
    <row r="42">
      <c r="A42" s="10" t="inlineStr">
        <is>
          <t>Wholesale Glass Bottles (range)</t>
        </is>
      </c>
      <c r="B42" s="10" t="inlineStr">
        <is>
          <t>cmuwulxfz007zl4u9lnp84w85</t>
        </is>
      </c>
      <c r="C42" s="10" t="inlineStr">
        <is>
          <t>Container &amp; Packaging</t>
        </is>
      </c>
      <c r="D42" s="10" t="inlineStr">
        <is>
          <t>No</t>
        </is>
      </c>
      <c r="E42" s="10" t="inlineStr">
        <is>
          <t>Quote only</t>
        </is>
      </c>
      <c r="F42" s="10" t="inlineStr">
        <is>
          <t>Glass Bottles</t>
        </is>
      </c>
      <c r="G42" s="10" t="n"/>
      <c r="H42" s="10" t="inlineStr">
        <is>
          <t>Glass</t>
        </is>
      </c>
      <c r="I42" s="10" t="inlineStr">
        <is>
          <t>Quote only</t>
        </is>
      </c>
      <c r="J42" s="10" t="inlineStr">
        <is>
          <t>Ask the supplier</t>
        </is>
      </c>
      <c r="K42" s="10" t="n"/>
      <c r="L42" s="10" t="n"/>
      <c r="M42" s="10" t="n"/>
      <c r="N42" s="10" t="inlineStr">
        <is>
          <t>Not published</t>
        </is>
      </c>
      <c r="O42" s="10" t="n"/>
      <c r="P42" s="10" t="inlineStr">
        <is>
          <t>Not published</t>
        </is>
      </c>
      <c r="Q42" s="10" t="inlineStr">
        <is>
          <t>Stock</t>
        </is>
      </c>
      <c r="R42" s="10" t="inlineStr">
        <is>
          <t>No</t>
        </is>
      </c>
      <c r="S42" s="11" t="inlineStr">
        <is>
          <t>https://www.containerandpackaging.com/catalog/glass-containers/glass-bottles/</t>
        </is>
      </c>
      <c r="T42" s="10" t="inlineStr">
        <is>
          <t>/products/glass-bottle.png</t>
        </is>
      </c>
      <c r="U42" s="10" t="inlineStr">
        <is>
          <t>2026-10-06</t>
        </is>
      </c>
      <c r="V42" s="15" t="inlineStr">
        <is>
          <t>Captured 2026-10-06: catalog range page; no prices published.</t>
        </is>
      </c>
    </row>
    <row r="43">
      <c r="A43" s="10" t="inlineStr">
        <is>
          <t>Wholesale Plastic Bottles (PET, HDPE, PP range)</t>
        </is>
      </c>
      <c r="B43" s="10" t="inlineStr">
        <is>
          <t>cmuwulwcr007vl4u93sr6f5c3</t>
        </is>
      </c>
      <c r="C43" s="10" t="inlineStr">
        <is>
          <t>Container &amp; Packaging</t>
        </is>
      </c>
      <c r="D43" s="10" t="inlineStr">
        <is>
          <t>No</t>
        </is>
      </c>
      <c r="E43" s="10" t="inlineStr">
        <is>
          <t>Quote only</t>
        </is>
      </c>
      <c r="F43" s="10" t="inlineStr">
        <is>
          <t>Plastic Bottles</t>
        </is>
      </c>
      <c r="G43" s="10" t="n"/>
      <c r="H43" s="10" t="inlineStr">
        <is>
          <t>Plastic (PET, HDPE, PP)</t>
        </is>
      </c>
      <c r="I43" s="10" t="inlineStr">
        <is>
          <t>Quote only</t>
        </is>
      </c>
      <c r="J43" s="10" t="inlineStr">
        <is>
          <t>Ask the supplier</t>
        </is>
      </c>
      <c r="K43" s="10" t="n"/>
      <c r="L43" s="10" t="n"/>
      <c r="M43" s="10" t="n"/>
      <c r="N43" s="10" t="inlineStr">
        <is>
          <t>Not published</t>
        </is>
      </c>
      <c r="O43" s="10" t="n"/>
      <c r="P43" s="10" t="inlineStr">
        <is>
          <t>Not published</t>
        </is>
      </c>
      <c r="Q43" s="10" t="inlineStr">
        <is>
          <t>Stock</t>
        </is>
      </c>
      <c r="R43" s="10" t="inlineStr">
        <is>
          <t>No</t>
        </is>
      </c>
      <c r="S43" s="11" t="inlineStr">
        <is>
          <t>https://www.containerandpackaging.com/catalog/plastic-containers/plastic-bottles/</t>
        </is>
      </c>
      <c r="T43" s="10" t="inlineStr">
        <is>
          <t>/products/plastic-bottle.png</t>
        </is>
      </c>
      <c r="U43" s="10" t="inlineStr">
        <is>
          <t>2026-10-06</t>
        </is>
      </c>
      <c r="V43" s="15" t="inlineStr">
        <is>
          <t>Captured 2026-10-06: catalog range page; no prices published.</t>
        </is>
      </c>
    </row>
    <row r="44">
      <c r="A44" s="10" t="inlineStr">
        <is>
          <t>Wholesale Plastic Jars (PET, HDPE, PP range)</t>
        </is>
      </c>
      <c r="B44" s="10" t="inlineStr">
        <is>
          <t>cmuwulvb6007rl4u9v5mtwaq0</t>
        </is>
      </c>
      <c r="C44" s="10" t="inlineStr">
        <is>
          <t>Container &amp; Packaging</t>
        </is>
      </c>
      <c r="D44" s="10" t="inlineStr">
        <is>
          <t>No</t>
        </is>
      </c>
      <c r="E44" s="10" t="inlineStr">
        <is>
          <t>Quote only</t>
        </is>
      </c>
      <c r="F44" s="10" t="inlineStr">
        <is>
          <t>Plastic Jars &amp; Canisters</t>
        </is>
      </c>
      <c r="G44" s="10" t="n"/>
      <c r="H44" s="10" t="inlineStr">
        <is>
          <t>Plastic (PET, HDPE, PP)</t>
        </is>
      </c>
      <c r="I44" s="10" t="inlineStr">
        <is>
          <t>Quote only</t>
        </is>
      </c>
      <c r="J44" s="10" t="inlineStr">
        <is>
          <t>Ask the supplier</t>
        </is>
      </c>
      <c r="K44" s="10" t="n"/>
      <c r="L44" s="10" t="n"/>
      <c r="M44" s="10" t="n"/>
      <c r="N44" s="10" t="inlineStr">
        <is>
          <t>Not published</t>
        </is>
      </c>
      <c r="O44" s="10" t="n"/>
      <c r="P44" s="10" t="inlineStr">
        <is>
          <t>Not published</t>
        </is>
      </c>
      <c r="Q44" s="10" t="inlineStr">
        <is>
          <t>Stock</t>
        </is>
      </c>
      <c r="R44" s="10" t="inlineStr">
        <is>
          <t>No</t>
        </is>
      </c>
      <c r="S44" s="11" t="inlineStr">
        <is>
          <t>https://www.containerandpackaging.com/catalog/plastic-containers/plastic-jars/</t>
        </is>
      </c>
      <c r="T44" s="10" t="inlineStr">
        <is>
          <t>/products/plastic-jar.png</t>
        </is>
      </c>
      <c r="U44" s="10" t="inlineStr">
        <is>
          <t>2026-10-06</t>
        </is>
      </c>
      <c r="V44" s="15" t="inlineStr">
        <is>
          <t>Captured 2026-10-06: catalog range page; no prices, minimums or lead times published — quotes via sales (800) 473-4144.</t>
        </is>
      </c>
    </row>
    <row r="45">
      <c r="A45" s="10" t="inlineStr">
        <is>
          <t>Custom Regular Slotted Container (RSC) Shipping Box — 10in x 10in x 10in</t>
        </is>
      </c>
      <c r="B45" s="10" t="inlineStr">
        <is>
          <t>cmuppxq0600320wu9rseg1czz</t>
        </is>
      </c>
      <c r="C45" s="10" t="inlineStr">
        <is>
          <t>Custom Boxes Now</t>
        </is>
      </c>
      <c r="D45" s="10" t="inlineStr">
        <is>
          <t>No</t>
        </is>
      </c>
      <c r="E45" s="10" t="inlineStr">
        <is>
          <t>Listed</t>
        </is>
      </c>
      <c r="F45" s="10" t="inlineStr">
        <is>
          <t>Corrugated Shippers &amp; Secondary Packaging</t>
        </is>
      </c>
      <c r="G45" s="10" t="inlineStr">
        <is>
          <t>RSC shipper case</t>
        </is>
      </c>
      <c r="H45" s="10" t="inlineStr">
        <is>
          <t>Corrugated (kraft, standard strength)</t>
        </is>
      </c>
      <c r="I45" s="10" t="inlineStr">
        <is>
          <t>Exact price</t>
        </is>
      </c>
      <c r="J45" s="14" t="n">
        <v>610</v>
      </c>
      <c r="K45" s="10" t="inlineStr">
        <is>
          <t>USD</t>
        </is>
      </c>
      <c r="L45" s="10" t="inlineStr">
        <is>
          <t>total for 100 boxes at configurator defaults (USD)</t>
        </is>
      </c>
      <c r="M45" s="14" t="n">
        <v>6.1</v>
      </c>
      <c r="N45" s="10" t="n">
        <v>10</v>
      </c>
      <c r="O45" s="10" t="inlineStr">
        <is>
          <t>boxes (orders under 10 are directed to a box expert for pricing)</t>
        </is>
      </c>
      <c r="P45" s="10" t="inlineStr">
        <is>
          <t>Not published</t>
        </is>
      </c>
      <c r="Q45" s="10" t="inlineStr">
        <is>
          <t>Custom</t>
        </is>
      </c>
      <c r="R45" s="10" t="inlineStr">
        <is>
          <t>Yes</t>
        </is>
      </c>
      <c r="S45" s="11" t="inlineStr">
        <is>
          <t>https://customboxesnow.com/</t>
        </is>
      </c>
      <c r="T45" s="10" t="inlineStr">
        <is>
          <t>/products/corrugated-box.png</t>
        </is>
      </c>
      <c r="U45" s="10" t="inlineStr">
        <is>
          <t>2026-09-21</t>
        </is>
      </c>
      <c r="V45" s="15" t="inlineStr">
        <is>
          <t>Live configurator render (2026-09-21): "TOTAL PRICE: $610.00 / Price Per Box: $6.10" for 100 boxes (defaults: 10in x 10in x 10in, quantity 100, Standard strength, Kraft (Brown), no printing). An Exa-indexed snapshot of the same page (2026-05-27) showed "TOTAL PRICE: $627.00 / Price Per Box: $6.27" — ongoing repricing; the 2026-09-21 live capture is the stored value.</t>
        </is>
      </c>
    </row>
    <row r="46">
      <c r="A46" s="10" t="inlineStr">
        <is>
          <t>Kraft Custom Tissue Paper (19.5in x 30in, ream of 480 sheets)</t>
        </is>
      </c>
      <c r="B46" s="10" t="inlineStr">
        <is>
          <t>cmuppxiio002n0wu9l8dn5ruz</t>
        </is>
      </c>
      <c r="C46" s="10" t="inlineStr">
        <is>
          <t>EcoEnclose</t>
        </is>
      </c>
      <c r="D46" s="10" t="inlineStr">
        <is>
          <t>No</t>
        </is>
      </c>
      <c r="E46" s="10" t="inlineStr">
        <is>
          <t>Recommended</t>
        </is>
      </c>
      <c r="F46" s="10" t="inlineStr">
        <is>
          <t>Branding Accessories: Hang Tags, Stickers, Tissue &amp; Tape</t>
        </is>
      </c>
      <c r="G46" s="10" t="inlineStr">
        <is>
          <t>Tissue paper</t>
        </is>
      </c>
      <c r="H46" s="10" t="inlineStr">
        <is>
          <t>Tissue paper (kraft)</t>
        </is>
      </c>
      <c r="I46" s="10" t="inlineStr">
        <is>
          <t>Exact price</t>
        </is>
      </c>
      <c r="J46" s="14" t="n">
        <v>69</v>
      </c>
      <c r="K46" s="10" t="inlineStr">
        <is>
          <t>USD</t>
        </is>
      </c>
      <c r="L46" s="10" t="inlineStr">
        <is>
          <t>per ream of 480 sheets (USD)</t>
        </is>
      </c>
      <c r="M46" s="10" t="n"/>
      <c r="N46" s="10" t="n">
        <v>10</v>
      </c>
      <c r="O46" s="10" t="inlineStr">
        <is>
          <t>reams</t>
        </is>
      </c>
      <c r="P46" s="10" t="inlineStr">
        <is>
          <t>Not published</t>
        </is>
      </c>
      <c r="Q46" s="10" t="inlineStr">
        <is>
          <t>Custom</t>
        </is>
      </c>
      <c r="R46" s="10" t="inlineStr">
        <is>
          <t>No</t>
        </is>
      </c>
      <c r="S46" s="11" t="inlineStr">
        <is>
          <t>https://www.ecoenclose.com/shop/tissue-paper/</t>
        </is>
      </c>
      <c r="T46" s="10" t="inlineStr">
        <is>
          <t>/products/hang-tag-sticker.png</t>
        </is>
      </c>
      <c r="U46" s="10" t="inlineStr">
        <is>
          <t>2026-09-21</t>
        </is>
      </c>
      <c r="V46" s="15" t="inlineStr">
        <is>
          <t>Verbatim (2026-09-21): "$69.00" (per ream of 480 sheets). MOQ 10 reams (displayed on product card).</t>
        </is>
      </c>
    </row>
    <row r="47">
      <c r="A47" s="10" t="inlineStr">
        <is>
          <t>Kraft Tissue Paper (stock, 20in x 30in, ream of 480 sheets)</t>
        </is>
      </c>
      <c r="B47" s="10" t="inlineStr">
        <is>
          <t>cmuppxkl8002r0wu9sgp4y8gg</t>
        </is>
      </c>
      <c r="C47" s="10" t="inlineStr">
        <is>
          <t>EcoEnclose</t>
        </is>
      </c>
      <c r="D47" s="10" t="inlineStr">
        <is>
          <t>No</t>
        </is>
      </c>
      <c r="E47" s="10" t="inlineStr">
        <is>
          <t>Recommended</t>
        </is>
      </c>
      <c r="F47" s="10" t="inlineStr">
        <is>
          <t>Branding Accessories: Hang Tags, Stickers, Tissue &amp; Tape</t>
        </is>
      </c>
      <c r="G47" s="10" t="inlineStr">
        <is>
          <t>Tissue paper</t>
        </is>
      </c>
      <c r="H47" s="10" t="inlineStr">
        <is>
          <t>Tissue paper (kraft)</t>
        </is>
      </c>
      <c r="I47" s="10" t="inlineStr">
        <is>
          <t>Exact price</t>
        </is>
      </c>
      <c r="J47" s="14" t="n">
        <v>23</v>
      </c>
      <c r="K47" s="10" t="inlineStr">
        <is>
          <t>USD</t>
        </is>
      </c>
      <c r="L47" s="10" t="inlineStr">
        <is>
          <t>per ream of 480 sheets (USD)</t>
        </is>
      </c>
      <c r="M47" s="10" t="n"/>
      <c r="N47" s="10" t="n">
        <v>1</v>
      </c>
      <c r="O47" s="10" t="inlineStr">
        <is>
          <t>ream (stock item; no custom MOQ)</t>
        </is>
      </c>
      <c r="P47" s="10" t="inlineStr">
        <is>
          <t>Not published</t>
        </is>
      </c>
      <c r="Q47" s="10" t="inlineStr">
        <is>
          <t>Stock</t>
        </is>
      </c>
      <c r="R47" s="10" t="inlineStr">
        <is>
          <t>No</t>
        </is>
      </c>
      <c r="S47" s="11" t="inlineStr">
        <is>
          <t>https://www.ecoenclose.com/shop/tissue-paper/</t>
        </is>
      </c>
      <c r="T47" s="10" t="inlineStr">
        <is>
          <t>/products/hang-tag-sticker.png</t>
        </is>
      </c>
      <c r="U47" s="10" t="inlineStr">
        <is>
          <t>2026-09-21</t>
        </is>
      </c>
      <c r="V47" s="15" t="inlineStr">
        <is>
          <t>Verbatim (2026-09-21): "$23.00" (per ream of 480 sheets). Stock item, no custom MOQ.</t>
        </is>
      </c>
    </row>
    <row r="48">
      <c r="A48" s="10" t="inlineStr">
        <is>
          <t>White Custom Tissue Paper (19.5in x 30in, ream of 480 sheets)</t>
        </is>
      </c>
      <c r="B48" s="10" t="inlineStr">
        <is>
          <t>cmuppxjjw002p0wu9mlqo9osl</t>
        </is>
      </c>
      <c r="C48" s="10" t="inlineStr">
        <is>
          <t>EcoEnclose</t>
        </is>
      </c>
      <c r="D48" s="10" t="inlineStr">
        <is>
          <t>No</t>
        </is>
      </c>
      <c r="E48" s="10" t="inlineStr">
        <is>
          <t>Recommended</t>
        </is>
      </c>
      <c r="F48" s="10" t="inlineStr">
        <is>
          <t>Branding Accessories: Hang Tags, Stickers, Tissue &amp; Tape</t>
        </is>
      </c>
      <c r="G48" s="10" t="inlineStr">
        <is>
          <t>Tissue paper</t>
        </is>
      </c>
      <c r="H48" s="10" t="inlineStr">
        <is>
          <t>Tissue paper (white)</t>
        </is>
      </c>
      <c r="I48" s="10" t="inlineStr">
        <is>
          <t>Exact price</t>
        </is>
      </c>
      <c r="J48" s="14" t="n">
        <v>69</v>
      </c>
      <c r="K48" s="10" t="inlineStr">
        <is>
          <t>USD</t>
        </is>
      </c>
      <c r="L48" s="10" t="inlineStr">
        <is>
          <t>per ream of 480 sheets (USD)</t>
        </is>
      </c>
      <c r="M48" s="10" t="n"/>
      <c r="N48" s="10" t="n">
        <v>10</v>
      </c>
      <c r="O48" s="10" t="inlineStr">
        <is>
          <t>reams</t>
        </is>
      </c>
      <c r="P48" s="10" t="inlineStr">
        <is>
          <t>Not published</t>
        </is>
      </c>
      <c r="Q48" s="10" t="inlineStr">
        <is>
          <t>Custom</t>
        </is>
      </c>
      <c r="R48" s="10" t="inlineStr">
        <is>
          <t>No</t>
        </is>
      </c>
      <c r="S48" s="11" t="inlineStr">
        <is>
          <t>https://www.ecoenclose.com/shop/tissue-paper/</t>
        </is>
      </c>
      <c r="T48" s="10" t="inlineStr">
        <is>
          <t>/products/hang-tag-sticker.png</t>
        </is>
      </c>
      <c r="U48" s="10" t="inlineStr">
        <is>
          <t>2026-09-21</t>
        </is>
      </c>
      <c r="V48" s="15" t="inlineStr">
        <is>
          <t>Verbatim (2026-09-21): "$69.00" (per ream of 480 sheets). MOQ 10 reams (displayed on product card).</t>
        </is>
      </c>
    </row>
    <row r="49">
      <c r="A49" s="10" t="inlineStr">
        <is>
          <t>10 x 8 x 6 Corrugated Boxes (25/Bundle)</t>
        </is>
      </c>
      <c r="B49" s="10" t="inlineStr">
        <is>
          <t>cmuppxand00270wu9ndc827ak</t>
        </is>
      </c>
      <c r="C49" s="10" t="inlineStr">
        <is>
          <t>PackagingSupplies.com</t>
        </is>
      </c>
      <c r="D49" s="10" t="inlineStr">
        <is>
          <t>No</t>
        </is>
      </c>
      <c r="E49" s="10" t="inlineStr">
        <is>
          <t>Listed</t>
        </is>
      </c>
      <c r="F49" s="10" t="inlineStr">
        <is>
          <t>Corrugated Shippers &amp; Secondary Packaging</t>
        </is>
      </c>
      <c r="G49" s="10" t="n"/>
      <c r="H49" s="10" t="inlineStr">
        <is>
          <t>Corrugated cardboard</t>
        </is>
      </c>
      <c r="I49" s="10" t="inlineStr">
        <is>
          <t>Exact price</t>
        </is>
      </c>
      <c r="J49" s="14" t="n">
        <v>20.7</v>
      </c>
      <c r="K49" s="10" t="inlineStr">
        <is>
          <t>USD</t>
        </is>
      </c>
      <c r="L49" s="10" t="inlineStr">
        <is>
          <t>per bundle of 25 boxes (USD)</t>
        </is>
      </c>
      <c r="M49" s="10" t="n"/>
      <c r="N49" s="10" t="n">
        <v>25</v>
      </c>
      <c r="O49" s="10" t="inlineStr">
        <is>
          <t>boxes (1 bundle)</t>
        </is>
      </c>
      <c r="P49" s="10" t="inlineStr">
        <is>
          <t>Not published</t>
        </is>
      </c>
      <c r="Q49" s="10" t="inlineStr">
        <is>
          <t>Stock</t>
        </is>
      </c>
      <c r="R49" s="10" t="inlineStr">
        <is>
          <t>No</t>
        </is>
      </c>
      <c r="S49" s="11" t="inlineStr">
        <is>
          <t>https://www.packagingsupplies.com/</t>
        </is>
      </c>
      <c r="T49" s="10" t="inlineStr">
        <is>
          <t>/products/corrugated-box.png</t>
        </is>
      </c>
      <c r="U49" s="10" t="inlineStr">
        <is>
          <t>2026-09-21</t>
        </is>
      </c>
      <c r="V49" s="15" t="inlineStr">
        <is>
          <t>Verbatim (2026-09-21): "$20.70" (per bundle of 25 boxes). Sold 25/Bundle.</t>
        </is>
      </c>
    </row>
    <row r="50">
      <c r="A50" s="10" t="inlineStr">
        <is>
          <t>16 x 1500 ft Stretch Film Roll, 12 Micron / 80 Gauge Equivalent (4/Case)</t>
        </is>
      </c>
      <c r="B50" s="10" t="inlineStr">
        <is>
          <t>cmuppxcpz002b0wu9645pcv5l</t>
        </is>
      </c>
      <c r="C50" s="10" t="inlineStr">
        <is>
          <t>PackagingSupplies.com</t>
        </is>
      </c>
      <c r="D50" s="10" t="inlineStr">
        <is>
          <t>No</t>
        </is>
      </c>
      <c r="E50" s="10" t="inlineStr">
        <is>
          <t>Listed</t>
        </is>
      </c>
      <c r="F50" s="10" t="inlineStr">
        <is>
          <t>Corrugated Shippers &amp; Secondary Packaging</t>
        </is>
      </c>
      <c r="G50" s="10" t="inlineStr">
        <is>
          <t>Stretch wrap / pallet</t>
        </is>
      </c>
      <c r="H50" s="10" t="inlineStr">
        <is>
          <t>Plastic film (12 micron, 80 gauge equivalent)</t>
        </is>
      </c>
      <c r="I50" s="10" t="inlineStr">
        <is>
          <t>Exact price</t>
        </is>
      </c>
      <c r="J50" s="14" t="n">
        <v>44.35</v>
      </c>
      <c r="K50" s="10" t="inlineStr">
        <is>
          <t>USD</t>
        </is>
      </c>
      <c r="L50" s="10" t="inlineStr">
        <is>
          <t>per case of 4 rolls (USD)</t>
        </is>
      </c>
      <c r="M50" s="10" t="n"/>
      <c r="N50" s="10" t="n">
        <v>4</v>
      </c>
      <c r="O50" s="10" t="inlineStr">
        <is>
          <t>rolls (1 case)</t>
        </is>
      </c>
      <c r="P50" s="10" t="inlineStr">
        <is>
          <t>Not published</t>
        </is>
      </c>
      <c r="Q50" s="10" t="inlineStr">
        <is>
          <t>Stock</t>
        </is>
      </c>
      <c r="R50" s="10" t="inlineStr">
        <is>
          <t>No</t>
        </is>
      </c>
      <c r="S50" s="11" t="inlineStr">
        <is>
          <t>https://www.packagingsupplies.com/</t>
        </is>
      </c>
      <c r="T50" s="10" t="inlineStr">
        <is>
          <t>/products/corrugated-box.png</t>
        </is>
      </c>
      <c r="U50" s="10" t="inlineStr">
        <is>
          <t>2026-09-21</t>
        </is>
      </c>
      <c r="V50" s="15" t="inlineStr">
        <is>
          <t>Verbatim (2026-09-21): "$44.35" (per case of 4 rolls). Sold 4/Case.</t>
        </is>
      </c>
    </row>
    <row r="51">
      <c r="A51" s="10" t="inlineStr">
        <is>
          <t>4-1/2 x 5-1/2 Packing List Enclosed Envelopes (Panel Face) — Orange (1000/Case)</t>
        </is>
      </c>
      <c r="B51" s="10" t="inlineStr">
        <is>
          <t>cmuppxboo00290wu9njcghm1u</t>
        </is>
      </c>
      <c r="C51" s="10" t="inlineStr">
        <is>
          <t>PackagingSupplies.com</t>
        </is>
      </c>
      <c r="D51" s="10" t="inlineStr">
        <is>
          <t>No</t>
        </is>
      </c>
      <c r="E51" s="10" t="inlineStr">
        <is>
          <t>Listed</t>
        </is>
      </c>
      <c r="F51" s="10" t="inlineStr">
        <is>
          <t>Mailers &amp; E-Commerce Shipping</t>
        </is>
      </c>
      <c r="G51" s="10" t="n"/>
      <c r="H51" s="10" t="inlineStr">
        <is>
          <t>Not specified</t>
        </is>
      </c>
      <c r="I51" s="10" t="inlineStr">
        <is>
          <t>Exact price</t>
        </is>
      </c>
      <c r="J51" s="14" t="n">
        <v>22.35</v>
      </c>
      <c r="K51" s="10" t="inlineStr">
        <is>
          <t>USD</t>
        </is>
      </c>
      <c r="L51" s="10" t="inlineStr">
        <is>
          <t>per case of 1000 (USD)</t>
        </is>
      </c>
      <c r="M51" s="10" t="n"/>
      <c r="N51" s="10" t="n">
        <v>1000</v>
      </c>
      <c r="O51" s="10" t="inlineStr">
        <is>
          <t>envelopes (1 case)</t>
        </is>
      </c>
      <c r="P51" s="10" t="inlineStr">
        <is>
          <t>Not published</t>
        </is>
      </c>
      <c r="Q51" s="10" t="inlineStr">
        <is>
          <t>Stock</t>
        </is>
      </c>
      <c r="R51" s="10" t="inlineStr">
        <is>
          <t>No</t>
        </is>
      </c>
      <c r="S51" s="11" t="inlineStr">
        <is>
          <t>https://www.packagingsupplies.com/</t>
        </is>
      </c>
      <c r="T51" s="10" t="inlineStr">
        <is>
          <t>/products/mailer-bag.png</t>
        </is>
      </c>
      <c r="U51" s="10" t="inlineStr">
        <is>
          <t>2026-09-21</t>
        </is>
      </c>
      <c r="V51" s="15" t="inlineStr">
        <is>
          <t>Verbatim (2026-09-21): "$22.35" (per case of 1000). Sold 1000/Case.</t>
        </is>
      </c>
    </row>
    <row r="52">
      <c r="A52" s="10" t="inlineStr">
        <is>
          <t>Clear Flat Cello Bags</t>
        </is>
      </c>
      <c r="B52" s="10" t="inlineStr">
        <is>
          <t>cmuppx46f001u0wu9v4rfus4n</t>
        </is>
      </c>
      <c r="C52" s="10" t="inlineStr">
        <is>
          <t>Paper Mart</t>
        </is>
      </c>
      <c r="D52" s="10" t="inlineStr">
        <is>
          <t>No</t>
        </is>
      </c>
      <c r="E52" s="10" t="inlineStr">
        <is>
          <t>Recommended</t>
        </is>
      </c>
      <c r="F52" s="10" t="inlineStr">
        <is>
          <t>Flexible Pouches &amp; Bags</t>
        </is>
      </c>
      <c r="G52" s="10" t="inlineStr">
        <is>
          <t>Flat / lay-flat pouch</t>
        </is>
      </c>
      <c r="H52" s="10" t="inlineStr">
        <is>
          <t>Cellophane (clear)</t>
        </is>
      </c>
      <c r="I52" s="10" t="inlineStr">
        <is>
          <t>From price</t>
        </is>
      </c>
      <c r="J52" s="14" t="n">
        <v>6.8</v>
      </c>
      <c r="K52" s="10" t="inlineStr">
        <is>
          <t>USD</t>
        </is>
      </c>
      <c r="L52" s="10" t="inlineStr">
        <is>
          <t>per pack, from-price (USD; pack size varies by option)</t>
        </is>
      </c>
      <c r="M52" s="10" t="n"/>
      <c r="N52" s="10" t="inlineStr">
        <is>
          <t>Not published</t>
        </is>
      </c>
      <c r="O52" s="10" t="n"/>
      <c r="P52" s="10" t="inlineStr">
        <is>
          <t>Not published</t>
        </is>
      </c>
      <c r="Q52" s="10" t="inlineStr">
        <is>
          <t>Stock</t>
        </is>
      </c>
      <c r="R52" s="10" t="inlineStr">
        <is>
          <t>No</t>
        </is>
      </c>
      <c r="S52" s="11" t="inlineStr">
        <is>
          <t>https://www.papermart.com/</t>
        </is>
      </c>
      <c r="T52" s="10" t="inlineStr">
        <is>
          <t>/products/stand-up-pouch.png</t>
        </is>
      </c>
      <c r="U52" s="10" t="inlineStr">
        <is>
          <t>2026-09-21</t>
        </is>
      </c>
      <c r="V52" s="15" t="inlineStr">
        <is>
          <t>Verbatim (2026-09-21): "From $6.80" — per-pack 'From' price; lowest listed option.</t>
        </is>
      </c>
    </row>
    <row r="53">
      <c r="A53" s="10" t="inlineStr">
        <is>
          <t>Flat Glassine Bags (1000/Pack)</t>
        </is>
      </c>
      <c r="B53" s="10" t="inlineStr">
        <is>
          <t>cmuppx57x001w0wu9rsopy0pt</t>
        </is>
      </c>
      <c r="C53" s="10" t="inlineStr">
        <is>
          <t>Paper Mart</t>
        </is>
      </c>
      <c r="D53" s="10" t="inlineStr">
        <is>
          <t>No</t>
        </is>
      </c>
      <c r="E53" s="10" t="inlineStr">
        <is>
          <t>Recommended</t>
        </is>
      </c>
      <c r="F53" s="10" t="inlineStr">
        <is>
          <t>Flexible Pouches &amp; Bags</t>
        </is>
      </c>
      <c r="G53" s="10" t="inlineStr">
        <is>
          <t>Flat / lay-flat pouch</t>
        </is>
      </c>
      <c r="H53" s="10" t="inlineStr">
        <is>
          <t>Glassine paper</t>
        </is>
      </c>
      <c r="I53" s="10" t="inlineStr">
        <is>
          <t>From price</t>
        </is>
      </c>
      <c r="J53" s="14" t="n">
        <v>24.42</v>
      </c>
      <c r="K53" s="10" t="inlineStr">
        <is>
          <t>USD</t>
        </is>
      </c>
      <c r="L53" s="10" t="inlineStr">
        <is>
          <t>per 1000-pack, from-price (USD)</t>
        </is>
      </c>
      <c r="M53" s="10" t="n"/>
      <c r="N53" s="10" t="inlineStr">
        <is>
          <t>Not published</t>
        </is>
      </c>
      <c r="O53" s="10" t="n"/>
      <c r="P53" s="10" t="inlineStr">
        <is>
          <t>Not published</t>
        </is>
      </c>
      <c r="Q53" s="10" t="inlineStr">
        <is>
          <t>Stock</t>
        </is>
      </c>
      <c r="R53" s="10" t="inlineStr">
        <is>
          <t>No</t>
        </is>
      </c>
      <c r="S53" s="11" t="inlineStr">
        <is>
          <t>https://www.papermart.com/</t>
        </is>
      </c>
      <c r="T53" s="10" t="inlineStr">
        <is>
          <t>/products/kraft-pouch.png</t>
        </is>
      </c>
      <c r="U53" s="10" t="inlineStr">
        <is>
          <t>2026-09-21</t>
        </is>
      </c>
      <c r="V53" s="15" t="inlineStr">
        <is>
          <t>Verbatim (2026-09-21): "From $24.42" — per-1000-pack 'From' price.</t>
        </is>
      </c>
    </row>
    <row r="54">
      <c r="A54" s="10" t="inlineStr">
        <is>
          <t>Plain White Kraft Shopping Bags</t>
        </is>
      </c>
      <c r="B54" s="10" t="inlineStr">
        <is>
          <t>cmuppx34s001s0wu9bl10uqmh</t>
        </is>
      </c>
      <c r="C54" s="10" t="inlineStr">
        <is>
          <t>Paper Mart</t>
        </is>
      </c>
      <c r="D54" s="10" t="inlineStr">
        <is>
          <t>No</t>
        </is>
      </c>
      <c r="E54" s="10" t="inlineStr">
        <is>
          <t>Recommended</t>
        </is>
      </c>
      <c r="F54" s="10" t="inlineStr">
        <is>
          <t>Branding Accessories: Hang Tags, Stickers, Tissue &amp; Tape</t>
        </is>
      </c>
      <c r="G54" s="10" t="n"/>
      <c r="H54" s="10" t="inlineStr">
        <is>
          <t>Kraft paper</t>
        </is>
      </c>
      <c r="I54" s="10" t="inlineStr">
        <is>
          <t>From price</t>
        </is>
      </c>
      <c r="J54" s="14" t="n">
        <v>9.869999999999999</v>
      </c>
      <c r="K54" s="10" t="inlineStr">
        <is>
          <t>USD</t>
        </is>
      </c>
      <c r="L54" s="10" t="inlineStr">
        <is>
          <t>per pack, from-price (USD; pack size varies by option)</t>
        </is>
      </c>
      <c r="M54" s="10" t="n"/>
      <c r="N54" s="10" t="inlineStr">
        <is>
          <t>Not published</t>
        </is>
      </c>
      <c r="O54" s="10" t="n"/>
      <c r="P54" s="10" t="inlineStr">
        <is>
          <t>Not published</t>
        </is>
      </c>
      <c r="Q54" s="10" t="inlineStr">
        <is>
          <t>Stock</t>
        </is>
      </c>
      <c r="R54" s="10" t="inlineStr">
        <is>
          <t>No</t>
        </is>
      </c>
      <c r="S54" s="11" t="inlineStr">
        <is>
          <t>https://www.papermart.com/</t>
        </is>
      </c>
      <c r="T54" s="10" t="inlineStr">
        <is>
          <t>/products/hang-tag-sticker.png</t>
        </is>
      </c>
      <c r="U54" s="10" t="inlineStr">
        <is>
          <t>2026-09-21</t>
        </is>
      </c>
      <c r="V54" s="15" t="inlineStr">
        <is>
          <t>Verbatim (2026-09-21): "Regular price From $9.87" — 'From' per-pack price; lowest listed size option priced from $9.87.</t>
        </is>
      </c>
    </row>
    <row r="55">
      <c r="A55" s="10" t="inlineStr">
        <is>
          <t>3 cc LDPE Dropper Bottle (squeeze, 48/bag)</t>
        </is>
      </c>
      <c r="B55" s="10" t="inlineStr">
        <is>
          <t>cmuppzagh006x0wu94m4wldwy</t>
        </is>
      </c>
      <c r="C55" s="10" t="inlineStr">
        <is>
          <t>SKS Bottle &amp; Packaging</t>
        </is>
      </c>
      <c r="D55" s="10" t="inlineStr">
        <is>
          <t>No</t>
        </is>
      </c>
      <c r="E55" s="10" t="inlineStr">
        <is>
          <t>Listed</t>
        </is>
      </c>
      <c r="F55" s="10" t="inlineStr">
        <is>
          <t>Dropper Assemblies, Vials &amp; Roll-Ons</t>
        </is>
      </c>
      <c r="G55" s="10" t="inlineStr">
        <is>
          <t>LDPE dropper (squeeze)</t>
        </is>
      </c>
      <c r="H55" s="10" t="inlineStr">
        <is>
          <t>LDPE</t>
        </is>
      </c>
      <c r="I55" s="10" t="inlineStr">
        <is>
          <t>Exact price</t>
        </is>
      </c>
      <c r="J55" s="14" t="n">
        <v>0.38</v>
      </c>
      <c r="K55" s="10" t="inlineStr">
        <is>
          <t>USD</t>
        </is>
      </c>
      <c r="L55" s="10" t="inlineStr">
        <is>
          <t>per bottle (USD; bag of 48)</t>
        </is>
      </c>
      <c r="M55" s="10" t="n"/>
      <c r="N55" s="10" t="n">
        <v>48</v>
      </c>
      <c r="O55" s="10" t="inlineStr">
        <is>
          <t>bottles (1 bag)</t>
        </is>
      </c>
      <c r="P55" s="10" t="inlineStr">
        <is>
          <t>Not published</t>
        </is>
      </c>
      <c r="Q55" s="10" t="inlineStr">
        <is>
          <t>Stock</t>
        </is>
      </c>
      <c r="R55" s="10" t="inlineStr">
        <is>
          <t>Yes</t>
        </is>
      </c>
      <c r="S55" s="11" t="inlineStr">
        <is>
          <t>https://www.sks-bottle.com/product/5655.html</t>
        </is>
      </c>
      <c r="T55" s="10" t="inlineStr">
        <is>
          <t>/products/dropper-vial.png</t>
        </is>
      </c>
      <c r="U55" s="10" t="inlineStr">
        <is>
          <t>2026-09-18</t>
        </is>
      </c>
      <c r="V55" s="15" t="inlineStr">
        <is>
          <t>Taxonomy-corpus capture (18 Sep 2026): "3 cc 48/bag $0.38 each" (SKS product 5655).</t>
        </is>
      </c>
    </row>
    <row r="56">
      <c r="A56" s="10" t="inlineStr">
        <is>
          <t>30 ml Amber Boston Round Bottle with TE Glass Dropper (48/case)</t>
        </is>
      </c>
      <c r="B56" s="10" t="inlineStr">
        <is>
          <t>cmuppz9ev006v0wu9bwu3xhjf</t>
        </is>
      </c>
      <c r="C56" s="10" t="inlineStr">
        <is>
          <t>SKS Bottle &amp; Packaging</t>
        </is>
      </c>
      <c r="D56" s="10" t="inlineStr">
        <is>
          <t>No</t>
        </is>
      </c>
      <c r="E56" s="10" t="inlineStr">
        <is>
          <t>Listed</t>
        </is>
      </c>
      <c r="F56" s="10" t="inlineStr">
        <is>
          <t>Dropper Assemblies, Vials &amp; Roll-Ons</t>
        </is>
      </c>
      <c r="G56" s="10" t="inlineStr">
        <is>
          <t>Boston round + glass dropper</t>
        </is>
      </c>
      <c r="H56" s="10" t="inlineStr">
        <is>
          <t>Glass (amber)</t>
        </is>
      </c>
      <c r="I56" s="10" t="inlineStr">
        <is>
          <t>Exact price</t>
        </is>
      </c>
      <c r="J56" s="14" t="n">
        <v>1.44</v>
      </c>
      <c r="K56" s="10" t="inlineStr">
        <is>
          <t>USD</t>
        </is>
      </c>
      <c r="L56" s="10" t="inlineStr">
        <is>
          <t>per bottle (USD; case of 48)</t>
        </is>
      </c>
      <c r="M56" s="10" t="n"/>
      <c r="N56" s="10" t="n">
        <v>48</v>
      </c>
      <c r="O56" s="10" t="inlineStr">
        <is>
          <t>bottles (1 case)</t>
        </is>
      </c>
      <c r="P56" s="10" t="inlineStr">
        <is>
          <t>Not published</t>
        </is>
      </c>
      <c r="Q56" s="10" t="inlineStr">
        <is>
          <t>Stock</t>
        </is>
      </c>
      <c r="R56" s="10" t="inlineStr">
        <is>
          <t>Yes</t>
        </is>
      </c>
      <c r="S56" s="11" t="inlineStr">
        <is>
          <t>https://www.sks-bottle.com/product/7514.html</t>
        </is>
      </c>
      <c r="T56" s="10" t="inlineStr">
        <is>
          <t>/products/dropper-vial.png</t>
        </is>
      </c>
      <c r="U56" s="10" t="inlineStr">
        <is>
          <t>2026-09-18</t>
        </is>
      </c>
      <c r="V56" s="15" t="inlineStr">
        <is>
          <t>Taxonomy-corpus capture (18 Sep 2026): "30 ml w/ TE glass dropper 48/cs $1.44" (SKS product 7514).</t>
        </is>
      </c>
    </row>
    <row r="57">
      <c r="A57" s="10" t="inlineStr">
        <is>
          <t>30 ml Amber Euro Dropper Bottle (bulk, 168/case)</t>
        </is>
      </c>
      <c r="B57" s="10" t="inlineStr">
        <is>
          <t>cmuppz7bk006r0wu9qd01jhwb</t>
        </is>
      </c>
      <c r="C57" s="10" t="inlineStr">
        <is>
          <t>SKS Bottle &amp; Packaging</t>
        </is>
      </c>
      <c r="D57" s="10" t="inlineStr">
        <is>
          <t>No</t>
        </is>
      </c>
      <c r="E57" s="10" t="inlineStr">
        <is>
          <t>Listed</t>
        </is>
      </c>
      <c r="F57" s="10" t="inlineStr">
        <is>
          <t>Dropper Assemblies, Vials &amp; Roll-Ons</t>
        </is>
      </c>
      <c r="G57" s="10" t="inlineStr">
        <is>
          <t>Glass euro dropper bottle</t>
        </is>
      </c>
      <c r="H57" s="10" t="inlineStr">
        <is>
          <t>Glass (amber)</t>
        </is>
      </c>
      <c r="I57" s="10" t="inlineStr">
        <is>
          <t>Exact price</t>
        </is>
      </c>
      <c r="J57" s="14" t="n">
        <v>0.4</v>
      </c>
      <c r="K57" s="10" t="inlineStr">
        <is>
          <t>USD</t>
        </is>
      </c>
      <c r="L57" s="10" t="inlineStr">
        <is>
          <t>per bottle (USD; case of 168)</t>
        </is>
      </c>
      <c r="M57" s="10" t="n"/>
      <c r="N57" s="10" t="n">
        <v>168</v>
      </c>
      <c r="O57" s="10" t="inlineStr">
        <is>
          <t>bottles (1 case)</t>
        </is>
      </c>
      <c r="P57" s="10" t="inlineStr">
        <is>
          <t>Not published</t>
        </is>
      </c>
      <c r="Q57" s="10" t="inlineStr">
        <is>
          <t>Stock</t>
        </is>
      </c>
      <c r="R57" s="10" t="inlineStr">
        <is>
          <t>Yes</t>
        </is>
      </c>
      <c r="S57" s="11" t="inlineStr">
        <is>
          <t>https://www.sks-bottle.com/product/308247.html</t>
        </is>
      </c>
      <c r="T57" s="10" t="inlineStr">
        <is>
          <t>/products/dropper-vial.png</t>
        </is>
      </c>
      <c r="U57" s="10" t="inlineStr">
        <is>
          <t>2026-09-18</t>
        </is>
      </c>
      <c r="V57" s="15" t="inlineStr">
        <is>
          <t>Taxonomy-corpus capture (18 Sep 2026): "30 ml amber bulk 168/cs at $0.40 each" (SKS product 308247). SKS free-sample program: free product samples online, up to 3 unique items (sample-order terms page).</t>
        </is>
      </c>
    </row>
    <row r="58">
      <c r="A58" s="10" t="inlineStr">
        <is>
          <t>5 ml Euro Dropper Bottle (48/case)</t>
        </is>
      </c>
      <c r="B58" s="10" t="inlineStr">
        <is>
          <t>cmuppz8d6006t0wu9fb42xmds</t>
        </is>
      </c>
      <c r="C58" s="10" t="inlineStr">
        <is>
          <t>SKS Bottle &amp; Packaging</t>
        </is>
      </c>
      <c r="D58" s="10" t="inlineStr">
        <is>
          <t>No</t>
        </is>
      </c>
      <c r="E58" s="10" t="inlineStr">
        <is>
          <t>Listed</t>
        </is>
      </c>
      <c r="F58" s="10" t="inlineStr">
        <is>
          <t>Dropper Assemblies, Vials &amp; Roll-Ons</t>
        </is>
      </c>
      <c r="G58" s="10" t="inlineStr">
        <is>
          <t>Glass euro dropper bottle</t>
        </is>
      </c>
      <c r="H58" s="10" t="inlineStr">
        <is>
          <t>Glass</t>
        </is>
      </c>
      <c r="I58" s="10" t="inlineStr">
        <is>
          <t>Exact price</t>
        </is>
      </c>
      <c r="J58" s="14" t="n">
        <v>0.84</v>
      </c>
      <c r="K58" s="10" t="inlineStr">
        <is>
          <t>USD</t>
        </is>
      </c>
      <c r="L58" s="10" t="inlineStr">
        <is>
          <t>per bottle (USD; case of 48)</t>
        </is>
      </c>
      <c r="M58" s="10" t="n"/>
      <c r="N58" s="10" t="n">
        <v>48</v>
      </c>
      <c r="O58" s="10" t="inlineStr">
        <is>
          <t>bottles (1 case)</t>
        </is>
      </c>
      <c r="P58" s="10" t="inlineStr">
        <is>
          <t>Not published</t>
        </is>
      </c>
      <c r="Q58" s="10" t="inlineStr">
        <is>
          <t>Stock</t>
        </is>
      </c>
      <c r="R58" s="10" t="inlineStr">
        <is>
          <t>Yes</t>
        </is>
      </c>
      <c r="S58" s="11" t="inlineStr">
        <is>
          <t>https://www.sks-bottle.com/product/295.html</t>
        </is>
      </c>
      <c r="T58" s="10" t="inlineStr">
        <is>
          <t>/products/dropper-vial.png</t>
        </is>
      </c>
      <c r="U58" s="10" t="inlineStr">
        <is>
          <t>2026-09-18</t>
        </is>
      </c>
      <c r="V58" s="15" t="inlineStr">
        <is>
          <t>Taxonomy-corpus capture (18 Sep 2026): "5 ml 48/cs at $0.84" (SKS product 295).</t>
        </is>
      </c>
    </row>
    <row r="59">
      <c r="A59" s="10" t="inlineStr">
        <is>
          <t>4 oz Amber Boston Round Glass Bottle with Black Cap (BRA4)</t>
        </is>
      </c>
      <c r="B59" s="10" t="inlineStr">
        <is>
          <t>cmuppwyja00160wu9jkfuupbj</t>
        </is>
      </c>
      <c r="C59" s="10" t="inlineStr">
        <is>
          <t>Specialty Bottle</t>
        </is>
      </c>
      <c r="D59" s="10" t="inlineStr">
        <is>
          <t>No</t>
        </is>
      </c>
      <c r="E59" s="10" t="inlineStr">
        <is>
          <t>Listed</t>
        </is>
      </c>
      <c r="F59" s="10" t="inlineStr">
        <is>
          <t>Glass Bottles</t>
        </is>
      </c>
      <c r="G59" s="10" t="inlineStr">
        <is>
          <t>Boston round</t>
        </is>
      </c>
      <c r="H59" s="10" t="inlineStr">
        <is>
          <t>Glass (amber soda-lime)</t>
        </is>
      </c>
      <c r="I59" s="10" t="inlineStr">
        <is>
          <t>Exact price</t>
        </is>
      </c>
      <c r="J59" s="14" t="n">
        <v>0.65</v>
      </c>
      <c r="K59" s="10" t="inlineStr">
        <is>
          <t>USD</t>
        </is>
      </c>
      <c r="L59" s="10" t="inlineStr">
        <is>
          <t>per bottle (USD)</t>
        </is>
      </c>
      <c r="M59" s="10" t="n"/>
      <c r="N59" s="10" t="n">
        <v>1</v>
      </c>
      <c r="O59" s="10" t="inlineStr">
        <is>
          <t>bottle (case quantity 128; no small order fee)</t>
        </is>
      </c>
      <c r="P59" s="10" t="inlineStr">
        <is>
          <t>Not published</t>
        </is>
      </c>
      <c r="Q59" s="10" t="inlineStr">
        <is>
          <t>Stock</t>
        </is>
      </c>
      <c r="R59" s="10" t="inlineStr">
        <is>
          <t>No</t>
        </is>
      </c>
      <c r="S59" s="11" t="inlineStr">
        <is>
          <t>https://www.specialtybottle.com/glass-bottles/amber-boston-rounds/4oz-bra4</t>
        </is>
      </c>
      <c r="T59" s="10" t="inlineStr">
        <is>
          <t>/products/glass-bottle-amber.png</t>
        </is>
      </c>
      <c r="U59" s="10" t="inlineStr">
        <is>
          <t>2026-09-21</t>
        </is>
      </c>
      <c r="V59" s="15" t="inlineStr">
        <is>
          <t>Verbatim (2026-09-21): "Now: $0.65; Quantity tiers: 1 to 127 $0.65 | 128 to 999 $0.62 | 1,000 to 4,999 $0.56 | 5,000 to 9,999 $0.51 | 10,000 to 25,000 $0.44" (per bottle). "Pick up just a case with no small order fee."</t>
        </is>
      </c>
    </row>
    <row r="60">
      <c r="A60" s="10" t="inlineStr">
        <is>
          <t>4 oz Amber Boston Round Glass Bottle with Silver Cap (BRA4S)</t>
        </is>
      </c>
      <c r="B60" s="10" t="inlineStr">
        <is>
          <t>cmuppwzsg001d0wu9ifg6o4n7</t>
        </is>
      </c>
      <c r="C60" s="10" t="inlineStr">
        <is>
          <t>Specialty Bottle</t>
        </is>
      </c>
      <c r="D60" s="10" t="inlineStr">
        <is>
          <t>No</t>
        </is>
      </c>
      <c r="E60" s="10" t="inlineStr">
        <is>
          <t>Listed</t>
        </is>
      </c>
      <c r="F60" s="10" t="inlineStr">
        <is>
          <t>Glass Bottles</t>
        </is>
      </c>
      <c r="G60" s="10" t="inlineStr">
        <is>
          <t>Boston round</t>
        </is>
      </c>
      <c r="H60" s="10" t="inlineStr">
        <is>
          <t>Glass (amber soda-lime)</t>
        </is>
      </c>
      <c r="I60" s="10" t="inlineStr">
        <is>
          <t>Exact price</t>
        </is>
      </c>
      <c r="J60" s="14" t="n">
        <v>0.6899999999999999</v>
      </c>
      <c r="K60" s="10" t="inlineStr">
        <is>
          <t>USD</t>
        </is>
      </c>
      <c r="L60" s="10" t="inlineStr">
        <is>
          <t>per bottle (USD)</t>
        </is>
      </c>
      <c r="M60" s="10" t="n"/>
      <c r="N60" s="10" t="n">
        <v>1</v>
      </c>
      <c r="O60" s="10" t="inlineStr">
        <is>
          <t>bottle (case quantity 128)</t>
        </is>
      </c>
      <c r="P60" s="10" t="inlineStr">
        <is>
          <t>Not published</t>
        </is>
      </c>
      <c r="Q60" s="10" t="inlineStr">
        <is>
          <t>Stock</t>
        </is>
      </c>
      <c r="R60" s="10" t="inlineStr">
        <is>
          <t>No</t>
        </is>
      </c>
      <c r="S60" s="11" t="inlineStr">
        <is>
          <t>https://www.specialtybottle.com/glass-bottles/amber-boston-rounds/silver-caps/4oz-bra4s</t>
        </is>
      </c>
      <c r="T60" s="10" t="inlineStr">
        <is>
          <t>/products/glass-bottle-amber.png</t>
        </is>
      </c>
      <c r="U60" s="10" t="inlineStr">
        <is>
          <t>2026-09-21</t>
        </is>
      </c>
      <c r="V60" s="15" t="inlineStr">
        <is>
          <t>Verbatim (2026-09-21): "Now: $0.69; 1 to 127 $0.69 | 128 to 999 $0.64 | 1,000 to 4,999 $0.58 | 5,000 to 9,999 $0.52 | 10,000 to 25,000 $0.46" (per bottle).</t>
        </is>
      </c>
    </row>
    <row r="61">
      <c r="A61" s="10" t="inlineStr">
        <is>
          <t>8 oz Amber Boston Round Glass Bottle with Black Cap (BRA8)</t>
        </is>
      </c>
      <c r="B61" s="10" t="inlineStr">
        <is>
          <t>cmuppx11q001k0wu9rly77k4e</t>
        </is>
      </c>
      <c r="C61" s="10" t="inlineStr">
        <is>
          <t>Specialty Bottle</t>
        </is>
      </c>
      <c r="D61" s="10" t="inlineStr">
        <is>
          <t>No</t>
        </is>
      </c>
      <c r="E61" s="10" t="inlineStr">
        <is>
          <t>Listed</t>
        </is>
      </c>
      <c r="F61" s="10" t="inlineStr">
        <is>
          <t>Glass Bottles</t>
        </is>
      </c>
      <c r="G61" s="10" t="inlineStr">
        <is>
          <t>Boston round</t>
        </is>
      </c>
      <c r="H61" s="10" t="inlineStr">
        <is>
          <t>Glass (amber soda-lime)</t>
        </is>
      </c>
      <c r="I61" s="10" t="inlineStr">
        <is>
          <t>Exact price</t>
        </is>
      </c>
      <c r="J61" s="14" t="n">
        <v>1.7</v>
      </c>
      <c r="K61" s="10" t="inlineStr">
        <is>
          <t>USD</t>
        </is>
      </c>
      <c r="L61" s="10" t="inlineStr">
        <is>
          <t>per bottle (USD)</t>
        </is>
      </c>
      <c r="M61" s="10" t="n"/>
      <c r="N61" s="10" t="n">
        <v>1</v>
      </c>
      <c r="O61" s="10" t="inlineStr">
        <is>
          <t>bottle (case quantity 191)</t>
        </is>
      </c>
      <c r="P61" s="10" t="inlineStr">
        <is>
          <t>Not published</t>
        </is>
      </c>
      <c r="Q61" s="10" t="inlineStr">
        <is>
          <t>Stock</t>
        </is>
      </c>
      <c r="R61" s="10" t="inlineStr">
        <is>
          <t>No</t>
        </is>
      </c>
      <c r="S61" s="11" t="inlineStr">
        <is>
          <t>https://www.specialtybottle.com/glass-bottles/amber-boston-rounds/4oz-bra4</t>
        </is>
      </c>
      <c r="T61" s="10" t="inlineStr">
        <is>
          <t>/products/glass-bottle-amber.png</t>
        </is>
      </c>
      <c r="U61" s="10" t="inlineStr">
        <is>
          <t>2026-09-21</t>
        </is>
      </c>
      <c r="V61" s="15" t="inlineStr">
        <is>
          <t>Verbatim (2026-09-21): "Now: $1.70; 1 to 191 $1.70 | 192 to 999 $1.47 | 1,000 to 4,999 $0.98 | 5,000 to 10,000 $0.87" (per bottle). Case Quantity 191. The research doc lists the product under the 4oz-bra4 URL slug; the URL is transcribed as captured.</t>
        </is>
      </c>
    </row>
    <row r="62">
      <c r="A62" s="10" t="inlineStr">
        <is>
          <t>Custom Die Cut Stickers (full-color vinyl)</t>
        </is>
      </c>
      <c r="B62" s="10" t="inlineStr">
        <is>
          <t>cmuppxel5002f0wu9uuicmg49</t>
        </is>
      </c>
      <c r="C62" s="10" t="inlineStr">
        <is>
          <t>Sticker Mule</t>
        </is>
      </c>
      <c r="D62" s="10" t="inlineStr">
        <is>
          <t>No</t>
        </is>
      </c>
      <c r="E62" s="10" t="inlineStr">
        <is>
          <t>Recommended</t>
        </is>
      </c>
      <c r="F62" s="10" t="inlineStr">
        <is>
          <t>Labels</t>
        </is>
      </c>
      <c r="G62" s="10" t="inlineStr">
        <is>
          <t>Sticker (die-cut, roll)</t>
        </is>
      </c>
      <c r="H62" s="10" t="inlineStr">
        <is>
          <t>Vinyl (full-color)</t>
        </is>
      </c>
      <c r="I62" s="10" t="inlineStr">
        <is>
          <t>Exact price</t>
        </is>
      </c>
      <c r="J62" s="14" t="n">
        <v>60</v>
      </c>
      <c r="K62" s="10" t="inlineStr">
        <is>
          <t>USD</t>
        </is>
      </c>
      <c r="L62" s="10" t="inlineStr">
        <is>
          <t>configurator default quantity (USD; 50 stickers at $1.20 each)</t>
        </is>
      </c>
      <c r="M62" s="14" t="n">
        <v>1.2</v>
      </c>
      <c r="N62" s="10" t="n">
        <v>10</v>
      </c>
      <c r="O62" s="10" t="inlineStr">
        <is>
          <t>stickers ('Order as little as 10 stickers at a time')</t>
        </is>
      </c>
      <c r="P62" s="10" t="inlineStr">
        <is>
          <t>Not published</t>
        </is>
      </c>
      <c r="Q62" s="10" t="inlineStr">
        <is>
          <t>Custom</t>
        </is>
      </c>
      <c r="R62" s="10" t="inlineStr">
        <is>
          <t>Yes</t>
        </is>
      </c>
      <c r="S62" s="11" t="inlineStr">
        <is>
          <t>https://www.stickermule.com/products/die-cut-stickers</t>
        </is>
      </c>
      <c r="T62" s="10" t="inlineStr">
        <is>
          <t>/products/label-roll.png</t>
        </is>
      </c>
      <c r="U62" s="10" t="inlineStr">
        <is>
          <t>2026-09-21</t>
        </is>
      </c>
      <c r="V62" s="15" t="inlineStr">
        <is>
          <t>Verbatim (2026-09-21): "$60" ($1.20 / sticker). Minimum order 10; $60 shown is the page's configurator default quantity (50 stickers).</t>
        </is>
      </c>
    </row>
    <row r="63">
      <c r="A63" s="10" t="inlineStr">
        <is>
          <t>Custom Packaging Tape (water-activated reinforced kraft, 2.81in wide)</t>
        </is>
      </c>
      <c r="B63" s="10" t="inlineStr">
        <is>
          <t>cmuppxgnm002j0wu9imti22e7</t>
        </is>
      </c>
      <c r="C63" s="10" t="inlineStr">
        <is>
          <t>Sticker Mule</t>
        </is>
      </c>
      <c r="D63" s="10" t="inlineStr">
        <is>
          <t>No</t>
        </is>
      </c>
      <c r="E63" s="10" t="inlineStr">
        <is>
          <t>Recommended</t>
        </is>
      </c>
      <c r="F63" s="10" t="inlineStr">
        <is>
          <t>Branding Accessories: Hang Tags, Stickers, Tissue &amp; Tape</t>
        </is>
      </c>
      <c r="G63" s="10" t="inlineStr">
        <is>
          <t>Packaging tape</t>
        </is>
      </c>
      <c r="H63" s="10" t="inlineStr">
        <is>
          <t>Kraft paper (water-activated, reinforced)</t>
        </is>
      </c>
      <c r="I63" s="10" t="inlineStr">
        <is>
          <t>Exact price</t>
        </is>
      </c>
      <c r="J63" s="14" t="n">
        <v>19</v>
      </c>
      <c r="K63" s="10" t="inlineStr">
        <is>
          <t>USD</t>
        </is>
      </c>
      <c r="L63" s="10" t="inlineStr">
        <is>
          <t>configurator default quantity (USD; $0.19 per foot)</t>
        </is>
      </c>
      <c r="M63" s="14" t="n">
        <v>0.19</v>
      </c>
      <c r="N63" s="10" t="inlineStr">
        <is>
          <t>Not published</t>
        </is>
      </c>
      <c r="O63" s="10" t="n"/>
      <c r="P63" s="10" t="inlineStr">
        <is>
          <t>Not published</t>
        </is>
      </c>
      <c r="Q63" s="10" t="inlineStr">
        <is>
          <t>Custom</t>
        </is>
      </c>
      <c r="R63" s="10" t="inlineStr">
        <is>
          <t>Yes</t>
        </is>
      </c>
      <c r="S63" s="11" t="inlineStr">
        <is>
          <t>https://www.stickermule.com/products/packaging-tape</t>
        </is>
      </c>
      <c r="T63" s="10" t="inlineStr">
        <is>
          <t>/products/hang-tag-sticker.png</t>
        </is>
      </c>
      <c r="U63" s="10" t="inlineStr">
        <is>
          <t>2026-09-21</t>
        </is>
      </c>
      <c r="V63" s="15" t="inlineStr">
        <is>
          <t>Verbatim (2026-09-21): "$19" ($0.19 / ft). Water-activated reinforced kraft tape; "Choose an amount, upload your artwork."</t>
        </is>
      </c>
    </row>
    <row r="64">
      <c r="A64" s="10" t="inlineStr">
        <is>
          <t>Custom Printed Stand Up Pouches (resealable zip, FDA/EU food-contact)</t>
        </is>
      </c>
      <c r="B64" s="10" t="inlineStr">
        <is>
          <t>cmuppxfmc002h0wu9aezi1vh7</t>
        </is>
      </c>
      <c r="C64" s="10" t="inlineStr">
        <is>
          <t>Sticker Mule</t>
        </is>
      </c>
      <c r="D64" s="10" t="inlineStr">
        <is>
          <t>No</t>
        </is>
      </c>
      <c r="E64" s="10" t="inlineStr">
        <is>
          <t>Recommended</t>
        </is>
      </c>
      <c r="F64" s="10" t="inlineStr">
        <is>
          <t>Flexible Pouches &amp; Bags</t>
        </is>
      </c>
      <c r="G64" s="10" t="inlineStr">
        <is>
          <t>Stand-up pouch</t>
        </is>
      </c>
      <c r="H64" s="10" t="inlineStr">
        <is>
          <t>Not specified</t>
        </is>
      </c>
      <c r="I64" s="10" t="inlineStr">
        <is>
          <t>Exact price</t>
        </is>
      </c>
      <c r="J64" s="14" t="n">
        <v>18</v>
      </c>
      <c r="K64" s="10" t="inlineStr">
        <is>
          <t>USD</t>
        </is>
      </c>
      <c r="L64" s="10" t="inlineStr">
        <is>
          <t>configurator default quantity (USD; 10 pouches at $1.80 each)</t>
        </is>
      </c>
      <c r="M64" s="14" t="n">
        <v>1.8</v>
      </c>
      <c r="N64" s="10" t="inlineStr">
        <is>
          <t>Not published</t>
        </is>
      </c>
      <c r="O64" s="10" t="n"/>
      <c r="P64" s="10" t="inlineStr">
        <is>
          <t>Not published</t>
        </is>
      </c>
      <c r="Q64" s="10" t="inlineStr">
        <is>
          <t>Custom</t>
        </is>
      </c>
      <c r="R64" s="10" t="inlineStr">
        <is>
          <t>Yes</t>
        </is>
      </c>
      <c r="S64" s="11" t="inlineStr">
        <is>
          <t>https://www.stickermule.com/products/stand-up-pouches</t>
        </is>
      </c>
      <c r="T64" s="10" t="inlineStr">
        <is>
          <t>/products/coffee-valve-pouch.png</t>
        </is>
      </c>
      <c r="U64" s="10" t="inlineStr">
        <is>
          <t>2026-09-21</t>
        </is>
      </c>
      <c r="V64" s="15" t="inlineStr">
        <is>
          <t>Verbatim (2026-09-21): "$18" ($1.80 / pouch). Page default-quantity price; "Select a quantity, upload your artwork, then checkout." Resealable zip; FDA/EU food-contact.</t>
        </is>
      </c>
    </row>
    <row r="65">
      <c r="A65" s="10" t="inlineStr">
        <is>
          <t>Custom Vinyl Stickers (die cut, waterproof vinyl)</t>
        </is>
      </c>
      <c r="B65" s="10" t="inlineStr">
        <is>
          <t>cmuppxrvr00360wu9o5l08ota</t>
        </is>
      </c>
      <c r="C65" s="10" t="inlineStr">
        <is>
          <t>StickerApp</t>
        </is>
      </c>
      <c r="D65" s="10" t="inlineStr">
        <is>
          <t>No</t>
        </is>
      </c>
      <c r="E65" s="10" t="inlineStr">
        <is>
          <t>Listed</t>
        </is>
      </c>
      <c r="F65" s="10" t="inlineStr">
        <is>
          <t>Labels</t>
        </is>
      </c>
      <c r="G65" s="10" t="inlineStr">
        <is>
          <t>Sticker (die-cut, roll)</t>
        </is>
      </c>
      <c r="H65" s="10" t="inlineStr">
        <is>
          <t>Vinyl (waterproof)</t>
        </is>
      </c>
      <c r="I65" s="10" t="inlineStr">
        <is>
          <t>Exact price</t>
        </is>
      </c>
      <c r="J65" s="14" t="n">
        <v>27</v>
      </c>
      <c r="K65" s="10" t="inlineStr">
        <is>
          <t>USD</t>
        </is>
      </c>
      <c r="L65" s="10" t="inlineStr">
        <is>
          <t>per order at the 29-piece starting tier (USD)</t>
        </is>
      </c>
      <c r="M65" s="10" t="n"/>
      <c r="N65" s="10" t="n">
        <v>29</v>
      </c>
      <c r="O65" s="10" t="inlineStr">
        <is>
          <t>pieces (per-size tier table starts at 29 pcs)</t>
        </is>
      </c>
      <c r="P65" s="10" t="inlineStr">
        <is>
          <t>Not published</t>
        </is>
      </c>
      <c r="Q65" s="10" t="inlineStr">
        <is>
          <t>Custom</t>
        </is>
      </c>
      <c r="R65" s="10" t="inlineStr">
        <is>
          <t>Yes</t>
        </is>
      </c>
      <c r="S65" s="11" t="inlineStr">
        <is>
          <t>https://stickerapp.com/pages/materials/vinyl-stickers</t>
        </is>
      </c>
      <c r="T65" s="10" t="inlineStr">
        <is>
          <t>/products/label-roll.png</t>
        </is>
      </c>
      <c r="U65" s="10" t="inlineStr">
        <is>
          <t>2026-09-21</t>
        </is>
      </c>
      <c r="V65" s="15" t="inlineStr">
        <is>
          <t>Verbatim tier rows (Exa-indexed first-party pages, captured 2026-09-21): "$27" at 29 pcs (lowest tier); "$36" at 50 pcs (−22%); "$52" at 100 pcs (−43%). Tier rows are per-order prices; per-piece figures are not published in the capture, so tiers stay out of the quantity-break table.</t>
        </is>
      </c>
    </row>
    <row r="66">
      <c r="A66" s="10" t="inlineStr">
        <is>
          <t>Custom Printed Lay-Flat Pouch</t>
        </is>
      </c>
      <c r="B66" s="10" t="inlineStr">
        <is>
          <t>cmuwum2ko008gl4u9q4cfufdl</t>
        </is>
      </c>
      <c r="C66" s="10" t="inlineStr">
        <is>
          <t>The Packaging Lab</t>
        </is>
      </c>
      <c r="D66" s="10" t="inlineStr">
        <is>
          <t>No</t>
        </is>
      </c>
      <c r="E66" s="10" t="inlineStr">
        <is>
          <t>Quote only</t>
        </is>
      </c>
      <c r="F66" s="10" t="inlineStr">
        <is>
          <t>Flexible Pouches &amp; Bags</t>
        </is>
      </c>
      <c r="G66" s="10" t="inlineStr">
        <is>
          <t>Lay-flat pouch</t>
        </is>
      </c>
      <c r="H66" s="10" t="inlineStr">
        <is>
          <t>Printed flexible laminate</t>
        </is>
      </c>
      <c r="I66" s="10" t="inlineStr">
        <is>
          <t>Quote only</t>
        </is>
      </c>
      <c r="J66" s="10" t="inlineStr">
        <is>
          <t>Ask the supplier</t>
        </is>
      </c>
      <c r="K66" s="10" t="n"/>
      <c r="L66" s="10" t="n"/>
      <c r="M66" s="10" t="n"/>
      <c r="N66" s="10" t="n">
        <v>1</v>
      </c>
      <c r="O66" s="10" t="inlineStr">
        <is>
          <t>pouch (site claim: no minimum order quantity)</t>
        </is>
      </c>
      <c r="P66" s="10" t="inlineStr">
        <is>
          <t>Not published</t>
        </is>
      </c>
      <c r="Q66" s="10" t="inlineStr">
        <is>
          <t>Custom</t>
        </is>
      </c>
      <c r="R66" s="10" t="inlineStr">
        <is>
          <t>No</t>
        </is>
      </c>
      <c r="S66" s="11" t="inlineStr">
        <is>
          <t>https://www.thepkglab.com/p/30/custom-lay-flat-pouch</t>
        </is>
      </c>
      <c r="T66" s="10" t="inlineStr">
        <is>
          <t>/products/kraft-pouch.png</t>
        </is>
      </c>
      <c r="U66" s="10" t="inlineStr">
        <is>
          <t>2026-10-06</t>
        </is>
      </c>
      <c r="V66" s="15" t="inlineStr">
        <is>
          <t>Captured 2026-10-06: priced through an on-site calculator (no published price). Site claims "no minimum order quantity".</t>
        </is>
      </c>
    </row>
    <row r="67">
      <c r="A67" s="10" t="inlineStr">
        <is>
          <t>Custom Printed Roll Stock Film</t>
        </is>
      </c>
      <c r="B67" s="10" t="inlineStr">
        <is>
          <t>cmuwum3qm008kl4u9zxsyihk8</t>
        </is>
      </c>
      <c r="C67" s="10" t="inlineStr">
        <is>
          <t>The Packaging Lab</t>
        </is>
      </c>
      <c r="D67" s="10" t="inlineStr">
        <is>
          <t>No</t>
        </is>
      </c>
      <c r="E67" s="10" t="inlineStr">
        <is>
          <t>Quote only</t>
        </is>
      </c>
      <c r="F67" s="10" t="inlineStr">
        <is>
          <t>Flexible Film Rollstock &amp; Flow Wrap</t>
        </is>
      </c>
      <c r="G67" s="10" t="n"/>
      <c r="H67" s="10" t="inlineStr">
        <is>
          <t>Printed flexible film</t>
        </is>
      </c>
      <c r="I67" s="10" t="inlineStr">
        <is>
          <t>Quote only</t>
        </is>
      </c>
      <c r="J67" s="10" t="inlineStr">
        <is>
          <t>Ask the supplier</t>
        </is>
      </c>
      <c r="K67" s="10" t="n"/>
      <c r="L67" s="10" t="n"/>
      <c r="M67" s="10" t="n"/>
      <c r="N67" s="10" t="inlineStr">
        <is>
          <t>Not published</t>
        </is>
      </c>
      <c r="O67" s="10" t="n"/>
      <c r="P67" s="10" t="inlineStr">
        <is>
          <t>Not published</t>
        </is>
      </c>
      <c r="Q67" s="10" t="inlineStr">
        <is>
          <t>Custom</t>
        </is>
      </c>
      <c r="R67" s="10" t="inlineStr">
        <is>
          <t>No</t>
        </is>
      </c>
      <c r="S67" s="11" t="inlineStr">
        <is>
          <t>https://www.thepkglab.com/p/32/custom-roll-stock-film</t>
        </is>
      </c>
      <c r="T67" s="10" t="inlineStr">
        <is>
          <t>/products/film-roll.png</t>
        </is>
      </c>
      <c r="U67" s="10" t="inlineStr">
        <is>
          <t>2026-10-06</t>
        </is>
      </c>
      <c r="V67" s="15" t="inlineStr">
        <is>
          <t>Captured 2026-10-06: priced through an on-site calculator (no published price).</t>
        </is>
      </c>
    </row>
    <row r="68">
      <c r="A68" s="10" t="inlineStr">
        <is>
          <t>Custom Printed Stand-Up Pouch</t>
        </is>
      </c>
      <c r="B68" s="10" t="inlineStr">
        <is>
          <t>cmuwum1ef008cl4u9n2meo2gr</t>
        </is>
      </c>
      <c r="C68" s="10" t="inlineStr">
        <is>
          <t>The Packaging Lab</t>
        </is>
      </c>
      <c r="D68" s="10" t="inlineStr">
        <is>
          <t>No</t>
        </is>
      </c>
      <c r="E68" s="10" t="inlineStr">
        <is>
          <t>Quote only</t>
        </is>
      </c>
      <c r="F68" s="10" t="inlineStr">
        <is>
          <t>Flexible Pouches &amp; Bags</t>
        </is>
      </c>
      <c r="G68" s="10" t="inlineStr">
        <is>
          <t>Stand-up pouch</t>
        </is>
      </c>
      <c r="H68" s="10" t="inlineStr">
        <is>
          <t>Printed flexible laminate</t>
        </is>
      </c>
      <c r="I68" s="10" t="inlineStr">
        <is>
          <t>Quote only</t>
        </is>
      </c>
      <c r="J68" s="10" t="inlineStr">
        <is>
          <t>Ask the supplier</t>
        </is>
      </c>
      <c r="K68" s="10" t="n"/>
      <c r="L68" s="10" t="n"/>
      <c r="M68" s="10" t="n"/>
      <c r="N68" s="10" t="n">
        <v>1</v>
      </c>
      <c r="O68" s="10" t="inlineStr">
        <is>
          <t>pouch (site claim: no minimum order quantity)</t>
        </is>
      </c>
      <c r="P68" s="10" t="inlineStr">
        <is>
          <t>Not published</t>
        </is>
      </c>
      <c r="Q68" s="10" t="inlineStr">
        <is>
          <t>Custom</t>
        </is>
      </c>
      <c r="R68" s="10" t="inlineStr">
        <is>
          <t>No</t>
        </is>
      </c>
      <c r="S68" s="11" t="inlineStr">
        <is>
          <t>https://www.thepkglab.com/p/26/the-packaging-lab-custom-stand-up-pouches</t>
        </is>
      </c>
      <c r="T68" s="10" t="inlineStr">
        <is>
          <t>/products/stand-up-pouch.png</t>
        </is>
      </c>
      <c r="U68" s="10" t="inlineStr">
        <is>
          <t>2026-10-06</t>
        </is>
      </c>
      <c r="V68" s="15" t="inlineStr">
        <is>
          <t>Captured 2026-10-06: priced through an on-site calculator (no published price). Site claims "no minimum order quantity" and "turnaround time as fast as 24 hours".</t>
        </is>
      </c>
    </row>
    <row r="69">
      <c r="A69" s="10" t="inlineStr">
        <is>
          <t>16 oz Amber Boston Round Glass Bottle — 28-400 (case)</t>
        </is>
      </c>
      <c r="B69" s="10" t="inlineStr">
        <is>
          <t>cmuppz5fv006n0wu9el2b8ez0</t>
        </is>
      </c>
      <c r="C69" s="10" t="inlineStr">
        <is>
          <t>TricorBraun</t>
        </is>
      </c>
      <c r="D69" s="10" t="inlineStr">
        <is>
          <t>No</t>
        </is>
      </c>
      <c r="E69" s="10" t="inlineStr">
        <is>
          <t>Listed</t>
        </is>
      </c>
      <c r="F69" s="10" t="inlineStr">
        <is>
          <t>Glass Bottles</t>
        </is>
      </c>
      <c r="G69" s="10" t="inlineStr">
        <is>
          <t>Boston round</t>
        </is>
      </c>
      <c r="H69" s="10" t="inlineStr">
        <is>
          <t>Glass (soda-lime, amber)</t>
        </is>
      </c>
      <c r="I69" s="10" t="inlineStr">
        <is>
          <t>Exact price</t>
        </is>
      </c>
      <c r="J69" s="14" t="n">
        <v>40.09</v>
      </c>
      <c r="K69" s="10" t="inlineStr">
        <is>
          <t>USD</t>
        </is>
      </c>
      <c r="L69" s="10" t="inlineStr">
        <is>
          <t>per case (USD; case pack size not stated in the capture)</t>
        </is>
      </c>
      <c r="M69" s="10" t="n"/>
      <c r="N69" s="10" t="n">
        <v>1</v>
      </c>
      <c r="O69" s="10" t="inlineStr">
        <is>
          <t>case (TricorBraun FAQ: no MOQ)</t>
        </is>
      </c>
      <c r="P69" s="10" t="inlineStr">
        <is>
          <t>Not published</t>
        </is>
      </c>
      <c r="Q69" s="10" t="inlineStr">
        <is>
          <t>Stock</t>
        </is>
      </c>
      <c r="R69" s="10" t="inlineStr">
        <is>
          <t>No</t>
        </is>
      </c>
      <c r="S69" s="11" t="inlineStr">
        <is>
          <t>https://www.tricorbraun.com/shop.html</t>
        </is>
      </c>
      <c r="T69" s="10" t="inlineStr">
        <is>
          <t>/products/glass-bottle-amber.png</t>
        </is>
      </c>
      <c r="U69" s="10" t="inlineStr">
        <is>
          <t>2026-09-18</t>
        </is>
      </c>
      <c r="V69" s="15" t="inlineStr">
        <is>
          <t>Taxonomy-corpus capture (18 Sep 2026): "16 oz amber 28-400 example at $40.09/case" (TricorBraun shop). TricorBraun FAQ states no MOQ; case pack size not stated in the capture.</t>
        </is>
      </c>
    </row>
    <row r="70">
      <c r="A70" s="10" t="inlineStr">
        <is>
          <t>5 Gallon Bucket — 90 Mil BPA-Free Food-Grade</t>
        </is>
      </c>
      <c r="B70" s="10" t="inlineStr">
        <is>
          <t>cmuppwqj8000q0wu91rjl2fjz</t>
        </is>
      </c>
      <c r="C70" s="10" t="inlineStr">
        <is>
          <t>ePackageSupply</t>
        </is>
      </c>
      <c r="D70" s="10" t="inlineStr">
        <is>
          <t>No</t>
        </is>
      </c>
      <c r="E70" s="10" t="inlineStr">
        <is>
          <t>Recommended</t>
        </is>
      </c>
      <c r="F70" s="10" t="inlineStr">
        <is>
          <t>Tubs, Cups &amp; Pails</t>
        </is>
      </c>
      <c r="G70" s="10" t="inlineStr">
        <is>
          <t>Pail / bucket</t>
        </is>
      </c>
      <c r="H70" s="10" t="inlineStr">
        <is>
          <t>Plastic (90 mil, BPA-free)</t>
        </is>
      </c>
      <c r="I70" s="10" t="inlineStr">
        <is>
          <t>Exact price</t>
        </is>
      </c>
      <c r="J70" s="14" t="n">
        <v>5.61</v>
      </c>
      <c r="K70" s="10" t="inlineStr">
        <is>
          <t>USD</t>
        </is>
      </c>
      <c r="L70" s="10" t="inlineStr">
        <is>
          <t>per bucket (USD)</t>
        </is>
      </c>
      <c r="M70" s="10" t="n"/>
      <c r="N70" s="10" t="n">
        <v>1</v>
      </c>
      <c r="O70" s="10" t="inlineStr">
        <is>
          <t>bucket (case quantity 1; 120 units per pallet)</t>
        </is>
      </c>
      <c r="P70" s="10" t="inlineStr">
        <is>
          <t>Not published</t>
        </is>
      </c>
      <c r="Q70" s="10" t="inlineStr">
        <is>
          <t>Stock</t>
        </is>
      </c>
      <c r="R70" s="10" t="inlineStr">
        <is>
          <t>No</t>
        </is>
      </c>
      <c r="S70" s="11" t="inlineStr">
        <is>
          <t>https://epackagesupply.com/products/5-gallon-bucket-bpa-free-food-grade-t40mw</t>
        </is>
      </c>
      <c r="T70" s="10" t="inlineStr">
        <is>
          <t>/products/tub-cup.png</t>
        </is>
      </c>
      <c r="U70" s="10" t="inlineStr">
        <is>
          <t>2026-09-21</t>
        </is>
      </c>
      <c r="V70" s="15" t="inlineStr">
        <is>
          <t>Verbatim (2026-09-21): "$5.61/ bucket" (per bucket). Single bucket purchase (case quantity 1 bucket; 120 units per pallet); "Buying in bulk? Get volume pricing" prompt shown.</t>
        </is>
      </c>
    </row>
    <row r="71">
      <c r="A71" s="10" t="inlineStr">
        <is>
          <t>7 Gallon 90 Mil BPA-Free Food-Grade Bucket</t>
        </is>
      </c>
      <c r="B71" s="10" t="inlineStr">
        <is>
          <t>cmuppwsnv000u0wu95vrnpbot</t>
        </is>
      </c>
      <c r="C71" s="10" t="inlineStr">
        <is>
          <t>ePackageSupply</t>
        </is>
      </c>
      <c r="D71" s="10" t="inlineStr">
        <is>
          <t>No</t>
        </is>
      </c>
      <c r="E71" s="10" t="inlineStr">
        <is>
          <t>Recommended</t>
        </is>
      </c>
      <c r="F71" s="10" t="inlineStr">
        <is>
          <t>Tubs, Cups &amp; Pails</t>
        </is>
      </c>
      <c r="G71" s="10" t="inlineStr">
        <is>
          <t>Pail / bucket</t>
        </is>
      </c>
      <c r="H71" s="10" t="inlineStr">
        <is>
          <t>Plastic (90 mil, BPA-free)</t>
        </is>
      </c>
      <c r="I71" s="10" t="inlineStr">
        <is>
          <t>From price</t>
        </is>
      </c>
      <c r="J71" s="14" t="n">
        <v>11.42</v>
      </c>
      <c r="K71" s="10" t="inlineStr">
        <is>
          <t>USD</t>
        </is>
      </c>
      <c r="L71" s="10" t="inlineStr">
        <is>
          <t>per bucket, as low as (USD)</t>
        </is>
      </c>
      <c r="M71" s="10" t="n"/>
      <c r="N71" s="10" t="n">
        <v>1</v>
      </c>
      <c r="O71" s="10" t="inlineStr">
        <is>
          <t>bucket ('1 Count' single-unit purchase)</t>
        </is>
      </c>
      <c r="P71" s="10" t="inlineStr">
        <is>
          <t>Not published</t>
        </is>
      </c>
      <c r="Q71" s="10" t="inlineStr">
        <is>
          <t>Stock</t>
        </is>
      </c>
      <c r="R71" s="10" t="inlineStr">
        <is>
          <t>No</t>
        </is>
      </c>
      <c r="S71" s="11" t="inlineStr">
        <is>
          <t>https://epackagesupply.com/</t>
        </is>
      </c>
      <c r="T71" s="10" t="inlineStr">
        <is>
          <t>/products/tub-cup.png</t>
        </is>
      </c>
      <c r="U71" s="10" t="inlineStr">
        <is>
          <t>2026-09-21</t>
        </is>
      </c>
      <c r="V71" s="15" t="inlineStr">
        <is>
          <t>Verbatim (2026-09-21): "As low as $11.42 / unit" (per bucket). "1 Count" single-unit purchase; bulk discounts as quantity increases.</t>
        </is>
      </c>
    </row>
    <row r="72">
      <c r="A72" s="10" t="inlineStr">
        <is>
          <t>Custom 5 Gallon Bucket (Pressure Sensitive Label)</t>
        </is>
      </c>
      <c r="B72" s="10" t="inlineStr">
        <is>
          <t>cmuppwrmh000s0wu94nnah528</t>
        </is>
      </c>
      <c r="C72" s="10" t="inlineStr">
        <is>
          <t>ePackageSupply</t>
        </is>
      </c>
      <c r="D72" s="10" t="inlineStr">
        <is>
          <t>No</t>
        </is>
      </c>
      <c r="E72" s="10" t="inlineStr">
        <is>
          <t>Recommended</t>
        </is>
      </c>
      <c r="F72" s="10" t="inlineStr">
        <is>
          <t>Tubs, Cups &amp; Pails</t>
        </is>
      </c>
      <c r="G72" s="10" t="inlineStr">
        <is>
          <t>Pail / bucket</t>
        </is>
      </c>
      <c r="H72" s="10" t="inlineStr">
        <is>
          <t>Plastic (90 mil, BPA-free)</t>
        </is>
      </c>
      <c r="I72" s="10" t="inlineStr">
        <is>
          <t>From price</t>
        </is>
      </c>
      <c r="J72" s="14" t="n">
        <v>5.61</v>
      </c>
      <c r="K72" s="10" t="inlineStr">
        <is>
          <t>USD</t>
        </is>
      </c>
      <c r="L72" s="10" t="inlineStr">
        <is>
          <t>per custom bucket, as low as (USD)</t>
        </is>
      </c>
      <c r="M72" s="10" t="n"/>
      <c r="N72" s="10" t="n">
        <v>60</v>
      </c>
      <c r="O72" s="10" t="inlineStr">
        <is>
          <t>units</t>
        </is>
      </c>
      <c r="P72" s="10" t="inlineStr">
        <is>
          <t>Not published</t>
        </is>
      </c>
      <c r="Q72" s="10" t="inlineStr">
        <is>
          <t>Custom</t>
        </is>
      </c>
      <c r="R72" s="10" t="inlineStr">
        <is>
          <t>No</t>
        </is>
      </c>
      <c r="S72" s="11" t="inlineStr">
        <is>
          <t>https://epackagesupply.com/products/custom-5-gallon-bucket</t>
        </is>
      </c>
      <c r="T72" s="10" t="inlineStr">
        <is>
          <t>/products/tub-cup.png</t>
        </is>
      </c>
      <c r="U72" s="10" t="inlineStr">
        <is>
          <t>2026-09-21</t>
        </is>
      </c>
      <c r="V72" s="15" t="inlineStr">
        <is>
          <t>Verbatim (2026-09-21): "As low as $5.61 / unit" (per custom bucket). Min Qty 60 units; pressure sensitive label; 2–3 week lead time (per site pricing table).</t>
        </is>
      </c>
    </row>
  </sheetData>
  <autoFilter ref="A1:V72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31" r:id="rId14"/>
    <hyperlink xmlns:r="http://schemas.openxmlformats.org/officeDocument/2006/relationships" ref="S32" r:id="rId15"/>
    <hyperlink xmlns:r="http://schemas.openxmlformats.org/officeDocument/2006/relationships" ref="S33" r:id="rId16"/>
    <hyperlink xmlns:r="http://schemas.openxmlformats.org/officeDocument/2006/relationships" ref="S34" r:id="rId17"/>
    <hyperlink xmlns:r="http://schemas.openxmlformats.org/officeDocument/2006/relationships" ref="S35" r:id="rId18"/>
    <hyperlink xmlns:r="http://schemas.openxmlformats.org/officeDocument/2006/relationships" ref="S36" r:id="rId19"/>
    <hyperlink xmlns:r="http://schemas.openxmlformats.org/officeDocument/2006/relationships" ref="S37" r:id="rId20"/>
    <hyperlink xmlns:r="http://schemas.openxmlformats.org/officeDocument/2006/relationships" ref="S38" r:id="rId21"/>
    <hyperlink xmlns:r="http://schemas.openxmlformats.org/officeDocument/2006/relationships" ref="S39" r:id="rId22"/>
    <hyperlink xmlns:r="http://schemas.openxmlformats.org/officeDocument/2006/relationships" ref="S40" r:id="rId23"/>
    <hyperlink xmlns:r="http://schemas.openxmlformats.org/officeDocument/2006/relationships" ref="S41" r:id="rId24"/>
    <hyperlink xmlns:r="http://schemas.openxmlformats.org/officeDocument/2006/relationships" ref="S42" r:id="rId25"/>
    <hyperlink xmlns:r="http://schemas.openxmlformats.org/officeDocument/2006/relationships" ref="S43" r:id="rId26"/>
    <hyperlink xmlns:r="http://schemas.openxmlformats.org/officeDocument/2006/relationships" ref="S44" r:id="rId27"/>
    <hyperlink xmlns:r="http://schemas.openxmlformats.org/officeDocument/2006/relationships" ref="S45" r:id="rId28"/>
    <hyperlink xmlns:r="http://schemas.openxmlformats.org/officeDocument/2006/relationships" ref="S46" r:id="rId29"/>
    <hyperlink xmlns:r="http://schemas.openxmlformats.org/officeDocument/2006/relationships" ref="S47" r:id="rId30"/>
    <hyperlink xmlns:r="http://schemas.openxmlformats.org/officeDocument/2006/relationships" ref="S48" r:id="rId31"/>
    <hyperlink xmlns:r="http://schemas.openxmlformats.org/officeDocument/2006/relationships" ref="S49" r:id="rId32"/>
    <hyperlink xmlns:r="http://schemas.openxmlformats.org/officeDocument/2006/relationships" ref="S50" r:id="rId33"/>
    <hyperlink xmlns:r="http://schemas.openxmlformats.org/officeDocument/2006/relationships" ref="S51" r:id="rId34"/>
    <hyperlink xmlns:r="http://schemas.openxmlformats.org/officeDocument/2006/relationships" ref="S52" r:id="rId35"/>
    <hyperlink xmlns:r="http://schemas.openxmlformats.org/officeDocument/2006/relationships" ref="S53" r:id="rId36"/>
    <hyperlink xmlns:r="http://schemas.openxmlformats.org/officeDocument/2006/relationships" ref="S54" r:id="rId37"/>
    <hyperlink xmlns:r="http://schemas.openxmlformats.org/officeDocument/2006/relationships" ref="S55" r:id="rId38"/>
    <hyperlink xmlns:r="http://schemas.openxmlformats.org/officeDocument/2006/relationships" ref="S56" r:id="rId39"/>
    <hyperlink xmlns:r="http://schemas.openxmlformats.org/officeDocument/2006/relationships" ref="S57" r:id="rId40"/>
    <hyperlink xmlns:r="http://schemas.openxmlformats.org/officeDocument/2006/relationships" ref="S58" r:id="rId41"/>
    <hyperlink xmlns:r="http://schemas.openxmlformats.org/officeDocument/2006/relationships" ref="S59" r:id="rId42"/>
    <hyperlink xmlns:r="http://schemas.openxmlformats.org/officeDocument/2006/relationships" ref="S60" r:id="rId43"/>
    <hyperlink xmlns:r="http://schemas.openxmlformats.org/officeDocument/2006/relationships" ref="S61" r:id="rId44"/>
    <hyperlink xmlns:r="http://schemas.openxmlformats.org/officeDocument/2006/relationships" ref="S62" r:id="rId45"/>
    <hyperlink xmlns:r="http://schemas.openxmlformats.org/officeDocument/2006/relationships" ref="S63" r:id="rId46"/>
    <hyperlink xmlns:r="http://schemas.openxmlformats.org/officeDocument/2006/relationships" ref="S64" r:id="rId47"/>
    <hyperlink xmlns:r="http://schemas.openxmlformats.org/officeDocument/2006/relationships" ref="S65" r:id="rId48"/>
    <hyperlink xmlns:r="http://schemas.openxmlformats.org/officeDocument/2006/relationships" ref="S66" r:id="rId49"/>
    <hyperlink xmlns:r="http://schemas.openxmlformats.org/officeDocument/2006/relationships" ref="S67" r:id="rId50"/>
    <hyperlink xmlns:r="http://schemas.openxmlformats.org/officeDocument/2006/relationships" ref="S68" r:id="rId51"/>
    <hyperlink xmlns:r="http://schemas.openxmlformats.org/officeDocument/2006/relationships" ref="S69" r:id="rId52"/>
    <hyperlink xmlns:r="http://schemas.openxmlformats.org/officeDocument/2006/relationships" ref="S70" r:id="rId53"/>
    <hyperlink xmlns:r="http://schemas.openxmlformats.org/officeDocument/2006/relationships" ref="S71" r:id="rId54"/>
    <hyperlink xmlns:r="http://schemas.openxmlformats.org/officeDocument/2006/relationships" ref="S72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  <col width="12" customWidth="1" min="4" max="4"/>
    <col width="80" customWidth="1" min="5" max="5"/>
  </cols>
  <sheetData>
    <row r="1" ht="30" customHeight="1">
      <c r="A1" s="7" t="inlineStr">
        <is>
          <t>Category</t>
        </is>
      </c>
      <c r="B1" s="7" t="inlineStr">
        <is>
          <t>Slug</t>
        </is>
      </c>
      <c r="C1" s="7" t="inlineStr">
        <is>
          <t>Parent</t>
        </is>
      </c>
      <c r="D1" s="7" t="inlineStr">
        <is>
          <t>Live listings</t>
        </is>
      </c>
      <c r="E1" s="7" t="inlineStr">
        <is>
          <t>Description</t>
        </is>
      </c>
    </row>
    <row r="2">
      <c r="A2" s="10" t="inlineStr">
        <is>
          <t>Aerosol Cans</t>
        </is>
      </c>
      <c r="B2" s="10" t="inlineStr">
        <is>
          <t>aerosols</t>
        </is>
      </c>
      <c r="C2" s="10" t="n"/>
      <c r="D2" s="10">
        <f>COUNTIF(Products!$F:$F,A2)</f>
        <v/>
      </c>
      <c r="E2" s="15" t="n"/>
    </row>
    <row r="3">
      <c r="A3" s="10" t="inlineStr">
        <is>
          <t>Blister Packs, Clamshells &amp; Thermoform Trays</t>
        </is>
      </c>
      <c r="B3" s="10" t="inlineStr">
        <is>
          <t>thermoforms</t>
        </is>
      </c>
      <c r="C3" s="10" t="n"/>
      <c r="D3" s="10">
        <f>COUNTIF(Products!$F:$F,A3)</f>
        <v/>
      </c>
      <c r="E3" s="15" t="n"/>
    </row>
    <row r="4">
      <c r="A4" s="10" t="inlineStr">
        <is>
          <t>Branding Accessories: Hang Tags, Stickers, Tissue &amp; Tape</t>
        </is>
      </c>
      <c r="B4" s="10" t="inlineStr">
        <is>
          <t>brand-accessories</t>
        </is>
      </c>
      <c r="C4" s="10" t="n"/>
      <c r="D4" s="10">
        <f>COUNTIF(Products!$F:$F,A4)</f>
        <v/>
      </c>
      <c r="E4" s="15" t="n"/>
    </row>
    <row r="5">
      <c r="A5" s="10" t="inlineStr">
        <is>
          <t>Child-Resistant &amp; Cannabis Specialty Packaging</t>
        </is>
      </c>
      <c r="B5" s="10" t="inlineStr">
        <is>
          <t>cr-cannabis</t>
        </is>
      </c>
      <c r="C5" s="10" t="n"/>
      <c r="D5" s="10">
        <f>COUNTIF(Products!$F:$F,A5)</f>
        <v/>
      </c>
      <c r="E5" s="15" t="n"/>
    </row>
    <row r="6">
      <c r="A6" s="10" t="inlineStr">
        <is>
          <t>Closures</t>
        </is>
      </c>
      <c r="B6" s="10" t="inlineStr">
        <is>
          <t>closures</t>
        </is>
      </c>
      <c r="C6" s="10" t="n"/>
      <c r="D6" s="10">
        <f>COUNTIF(Products!$F:$F,A6)</f>
        <v/>
      </c>
      <c r="E6" s="15" t="n"/>
    </row>
    <row r="7">
      <c r="A7" s="10" t="inlineStr">
        <is>
          <t>Collapsible Tubes</t>
        </is>
      </c>
      <c r="B7" s="10" t="inlineStr">
        <is>
          <t>collapsible-tubes</t>
        </is>
      </c>
      <c r="C7" s="10" t="n"/>
      <c r="D7" s="10">
        <f>COUNTIF(Products!$F:$F,A7)</f>
        <v/>
      </c>
      <c r="E7" s="15" t="n"/>
    </row>
    <row r="8">
      <c r="A8" s="10" t="inlineStr">
        <is>
          <t>Compostables &amp; Sustainable Structures</t>
        </is>
      </c>
      <c r="B8" s="10" t="inlineStr">
        <is>
          <t>compostables</t>
        </is>
      </c>
      <c r="C8" s="10" t="n"/>
      <c r="D8" s="10">
        <f>COUNTIF(Products!$F:$F,A8)</f>
        <v/>
      </c>
      <c r="E8" s="15" t="n"/>
    </row>
    <row r="9">
      <c r="A9" s="10" t="inlineStr">
        <is>
          <t>Corrugated Shippers &amp; Secondary Packaging</t>
        </is>
      </c>
      <c r="B9" s="10" t="inlineStr">
        <is>
          <t>corrugated</t>
        </is>
      </c>
      <c r="C9" s="10" t="n"/>
      <c r="D9" s="10">
        <f>COUNTIF(Products!$F:$F,A9)</f>
        <v/>
      </c>
      <c r="E9" s="15" t="inlineStr">
        <is>
          <t>Every CPG SKU ships in this category — corrugated cases, pallets, and stretch wrap are standard across food, beverage, and household distribution.</t>
        </is>
      </c>
    </row>
    <row r="10">
      <c r="A10" s="10" t="inlineStr">
        <is>
          <t>Dropper Assemblies, Vials &amp; Roll-Ons</t>
        </is>
      </c>
      <c r="B10" s="10" t="inlineStr">
        <is>
          <t>droppers-vials</t>
        </is>
      </c>
      <c r="C10" s="10" t="n"/>
      <c r="D10" s="10">
        <f>COUNTIF(Products!$F:$F,A10)</f>
        <v/>
      </c>
      <c r="E10" s="15" t="n"/>
    </row>
    <row r="11">
      <c r="A11" s="10" t="inlineStr">
        <is>
          <t>Flexible Film Rollstock &amp; Flow Wrap</t>
        </is>
      </c>
      <c r="B11" s="10" t="inlineStr">
        <is>
          <t>rollstock</t>
        </is>
      </c>
      <c r="C11" s="10" t="n"/>
      <c r="D11" s="10">
        <f>COUNTIF(Products!$F:$F,A11)</f>
        <v/>
      </c>
      <c r="E11" s="15" t="n"/>
    </row>
    <row r="12">
      <c r="A12" s="10" t="inlineStr">
        <is>
          <t>Flexible Pouches &amp; Bags</t>
        </is>
      </c>
      <c r="B12" s="10" t="inlineStr">
        <is>
          <t>pouches-bags</t>
        </is>
      </c>
      <c r="C12" s="10" t="n"/>
      <c r="D12" s="10">
        <f>COUNTIF(Products!$F:$F,A12)</f>
        <v/>
      </c>
      <c r="E12" s="15" t="inlineStr">
        <is>
          <t>The highest-frequency primary pack in food CPG (stand-up, flat-bottom, side-gusset, lay-flat formats); flexible formats account for over 38% of global food packaging volume per the taxonomy corpus.</t>
        </is>
      </c>
    </row>
    <row r="13">
      <c r="A13" s="10" t="inlineStr">
        <is>
          <t>Folding Cartons</t>
        </is>
      </c>
      <c r="B13" s="10" t="inlineStr">
        <is>
          <t>folding-cartons</t>
        </is>
      </c>
      <c r="C13" s="10" t="n"/>
      <c r="D13" s="10">
        <f>COUNTIF(Products!$F:$F,A13)</f>
        <v/>
      </c>
      <c r="E13" s="15" t="n"/>
    </row>
    <row r="14">
      <c r="A14" s="10" t="inlineStr">
        <is>
          <t>Glass Bottles</t>
        </is>
      </c>
      <c r="B14" s="10" t="inlineStr">
        <is>
          <t>glass-bottles</t>
        </is>
      </c>
      <c r="C14" s="10" t="n"/>
      <c r="D14" s="10">
        <f>COUNTIF(Products!$F:$F,A14)</f>
        <v/>
      </c>
      <c r="E14" s="15" t="inlineStr">
        <is>
          <t>Stock glass starts at zero MOQ from US distributors and ~5,000–10,000 units from import programs; custom glass is tooling-driven.</t>
        </is>
      </c>
    </row>
    <row r="15">
      <c r="A15" s="10" t="inlineStr">
        <is>
          <t>Glass Jars</t>
        </is>
      </c>
      <c r="B15" s="10" t="inlineStr">
        <is>
          <t>glass-jars</t>
        </is>
      </c>
      <c r="C15" s="10" t="n"/>
      <c r="D15" s="10">
        <f>COUNTIF(Products!$F:$F,A15)</f>
        <v/>
      </c>
      <c r="E15" s="15" t="n"/>
    </row>
    <row r="16">
      <c r="A16" s="10" t="inlineStr">
        <is>
          <t>Labels</t>
        </is>
      </c>
      <c r="B16" s="10" t="inlineStr">
        <is>
          <t>labels</t>
        </is>
      </c>
      <c r="C16" s="10" t="n"/>
      <c r="D16" s="10">
        <f>COUNTIF(Products!$F:$F,A16)</f>
        <v/>
      </c>
      <c r="E16" s="15" t="n"/>
    </row>
    <row r="17">
      <c r="A17" s="10" t="inlineStr">
        <is>
          <t>Mailers &amp; E-Commerce Shipping</t>
        </is>
      </c>
      <c r="B17" s="10" t="inlineStr">
        <is>
          <t>mailers</t>
        </is>
      </c>
      <c r="C17" s="10" t="n"/>
      <c r="D17" s="10">
        <f>COUNTIF(Products!$F:$F,A17)</f>
        <v/>
      </c>
      <c r="E17" s="15" t="n"/>
    </row>
    <row r="18">
      <c r="A18" s="10" t="inlineStr">
        <is>
          <t>Metal Cans — Beverage &amp; Food</t>
        </is>
      </c>
      <c r="B18" s="10" t="inlineStr">
        <is>
          <t>metal-cans</t>
        </is>
      </c>
      <c r="C18" s="10" t="n"/>
      <c r="D18" s="10">
        <f>COUNTIF(Products!$F:$F,A18)</f>
        <v/>
      </c>
      <c r="E18" s="15" t="n"/>
    </row>
    <row r="19">
      <c r="A19" s="10" t="inlineStr">
        <is>
          <t>Metal Tins</t>
        </is>
      </c>
      <c r="B19" s="10" t="inlineStr">
        <is>
          <t>metal-tins</t>
        </is>
      </c>
      <c r="C19" s="10" t="n"/>
      <c r="D19" s="10">
        <f>COUNTIF(Products!$F:$F,A19)</f>
        <v/>
      </c>
      <c r="E19" s="15" t="n"/>
    </row>
    <row r="20">
      <c r="A20" s="10" t="inlineStr">
        <is>
          <t>Plastic Bottles</t>
        </is>
      </c>
      <c r="B20" s="10" t="inlineStr">
        <is>
          <t>plastic-bottles</t>
        </is>
      </c>
      <c r="C20" s="10" t="n"/>
      <c r="D20" s="10">
        <f>COUNTIF(Products!$F:$F,A20)</f>
        <v/>
      </c>
      <c r="E20" s="15" t="n"/>
    </row>
    <row r="21">
      <c r="A21" s="10" t="inlineStr">
        <is>
          <t>Plastic Jars &amp; Canisters</t>
        </is>
      </c>
      <c r="B21" s="10" t="inlineStr">
        <is>
          <t>plastic-jars</t>
        </is>
      </c>
      <c r="C21" s="10" t="n"/>
      <c r="D21" s="10">
        <f>COUNTIF(Products!$F:$F,A21)</f>
        <v/>
      </c>
      <c r="E21" s="15" t="n"/>
    </row>
    <row r="22">
      <c r="A22" s="10" t="inlineStr">
        <is>
          <t>Pumps, Sprayers &amp; Airless Dispensers</t>
        </is>
      </c>
      <c r="B22" s="10" t="inlineStr">
        <is>
          <t>pumps-sprayers</t>
        </is>
      </c>
      <c r="C22" s="10" t="n"/>
      <c r="D22" s="10">
        <f>COUNTIF(Products!$F:$F,A22)</f>
        <v/>
      </c>
      <c r="E22" s="15" t="n"/>
    </row>
    <row r="23">
      <c r="A23" s="10" t="inlineStr">
        <is>
          <t>Rigid Setup Boxes</t>
        </is>
      </c>
      <c r="B23" s="10" t="inlineStr">
        <is>
          <t>setup-boxes</t>
        </is>
      </c>
      <c r="C23" s="10" t="n"/>
      <c r="D23" s="10">
        <f>COUNTIF(Products!$F:$F,A23)</f>
        <v/>
      </c>
      <c r="E23" s="15" t="n"/>
    </row>
    <row r="24">
      <c r="A24" s="10" t="inlineStr">
        <is>
          <t>Sachets &amp; Stick Packs</t>
        </is>
      </c>
      <c r="B24" s="10" t="inlineStr">
        <is>
          <t>sachets-stick-packs</t>
        </is>
      </c>
      <c r="C24" s="10" t="n"/>
      <c r="D24" s="10">
        <f>COUNTIF(Products!$F:$F,A24)</f>
        <v/>
      </c>
      <c r="E24" s="15" t="n"/>
    </row>
    <row r="25">
      <c r="A25" s="10" t="inlineStr">
        <is>
          <t>Shrink Sleeves</t>
        </is>
      </c>
      <c r="B25" s="10" t="inlineStr">
        <is>
          <t>shrink-sleeves</t>
        </is>
      </c>
      <c r="C25" s="10" t="n"/>
      <c r="D25" s="10">
        <f>COUNTIF(Products!$F:$F,A25)</f>
        <v/>
      </c>
      <c r="E25" s="15" t="n"/>
    </row>
    <row r="26">
      <c r="A26" s="10" t="inlineStr">
        <is>
          <t>Tubs, Cups &amp; Pails</t>
        </is>
      </c>
      <c r="B26" s="10" t="inlineStr">
        <is>
          <t>tubs-pails</t>
        </is>
      </c>
      <c r="C26" s="10" t="n"/>
      <c r="D26" s="10">
        <f>COUNTIF(Products!$F:$F,A26)</f>
        <v/>
      </c>
      <c r="E26" s="15" t="n"/>
    </row>
  </sheetData>
  <autoFilter ref="A1:E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30" customWidth="1" min="2" max="2"/>
    <col width="10" customWidth="1" min="3" max="3"/>
    <col width="10" customWidth="1" min="4" max="4"/>
    <col width="11" customWidth="1" min="5" max="5"/>
    <col width="9" customWidth="1" min="6" max="6"/>
    <col width="40" customWidth="1" min="7" max="7"/>
  </cols>
  <sheetData>
    <row r="1" ht="30" customHeight="1">
      <c r="A1" s="7" t="inlineStr">
        <is>
          <t>Product</t>
        </is>
      </c>
      <c r="B1" s="7" t="inlineStr">
        <is>
          <t>Supplier</t>
        </is>
      </c>
      <c r="C1" s="7" t="inlineStr">
        <is>
          <t>Min qty</t>
        </is>
      </c>
      <c r="D1" s="7" t="inlineStr">
        <is>
          <t>Max qty</t>
        </is>
      </c>
      <c r="E1" s="7" t="inlineStr">
        <is>
          <t>Unit price</t>
        </is>
      </c>
      <c r="F1" s="7" t="inlineStr">
        <is>
          <t>Currency</t>
        </is>
      </c>
      <c r="G1" s="7" t="inlineStr">
        <is>
          <t>Price basis</t>
        </is>
      </c>
    </row>
    <row r="2">
      <c r="A2" s="10" t="inlineStr">
        <is>
          <t>4 oz Amber Boston Round Glass Bottle with Black Cap (BRA4)</t>
        </is>
      </c>
      <c r="B2" s="10" t="inlineStr">
        <is>
          <t>Specialty Bottle</t>
        </is>
      </c>
      <c r="C2" s="10" t="n">
        <v>1</v>
      </c>
      <c r="D2" s="10" t="n">
        <v>127</v>
      </c>
      <c r="E2" s="14" t="n">
        <v>0.65</v>
      </c>
      <c r="F2" s="10" t="inlineStr">
        <is>
          <t>USD</t>
        </is>
      </c>
      <c r="G2" s="10" t="inlineStr">
        <is>
          <t>per bottle (USD)</t>
        </is>
      </c>
    </row>
    <row r="3">
      <c r="A3" s="10" t="inlineStr">
        <is>
          <t>4 oz Amber Boston Round Glass Bottle with Black Cap (BRA4)</t>
        </is>
      </c>
      <c r="B3" s="10" t="inlineStr">
        <is>
          <t>Specialty Bottle</t>
        </is>
      </c>
      <c r="C3" s="10" t="n">
        <v>128</v>
      </c>
      <c r="D3" s="10" t="n">
        <v>999</v>
      </c>
      <c r="E3" s="14" t="n">
        <v>0.62</v>
      </c>
      <c r="F3" s="10" t="inlineStr">
        <is>
          <t>USD</t>
        </is>
      </c>
      <c r="G3" s="10" t="inlineStr">
        <is>
          <t>per bottle (USD)</t>
        </is>
      </c>
    </row>
    <row r="4">
      <c r="A4" s="10" t="inlineStr">
        <is>
          <t>4 oz Amber Boston Round Glass Bottle with Black Cap (BRA4)</t>
        </is>
      </c>
      <c r="B4" s="10" t="inlineStr">
        <is>
          <t>Specialty Bottle</t>
        </is>
      </c>
      <c r="C4" s="10" t="n">
        <v>1000</v>
      </c>
      <c r="D4" s="10" t="n">
        <v>4999</v>
      </c>
      <c r="E4" s="14" t="n">
        <v>0.5600000000000001</v>
      </c>
      <c r="F4" s="10" t="inlineStr">
        <is>
          <t>USD</t>
        </is>
      </c>
      <c r="G4" s="10" t="inlineStr">
        <is>
          <t>per bottle (USD)</t>
        </is>
      </c>
    </row>
    <row r="5">
      <c r="A5" s="10" t="inlineStr">
        <is>
          <t>4 oz Amber Boston Round Glass Bottle with Black Cap (BRA4)</t>
        </is>
      </c>
      <c r="B5" s="10" t="inlineStr">
        <is>
          <t>Specialty Bottle</t>
        </is>
      </c>
      <c r="C5" s="10" t="n">
        <v>5000</v>
      </c>
      <c r="D5" s="10" t="n">
        <v>9999</v>
      </c>
      <c r="E5" s="14" t="n">
        <v>0.51</v>
      </c>
      <c r="F5" s="10" t="inlineStr">
        <is>
          <t>USD</t>
        </is>
      </c>
      <c r="G5" s="10" t="inlineStr">
        <is>
          <t>per bottle (USD)</t>
        </is>
      </c>
    </row>
    <row r="6">
      <c r="A6" s="10" t="inlineStr">
        <is>
          <t>4 oz Amber Boston Round Glass Bottle with Black Cap (BRA4)</t>
        </is>
      </c>
      <c r="B6" s="10" t="inlineStr">
        <is>
          <t>Specialty Bottle</t>
        </is>
      </c>
      <c r="C6" s="10" t="n">
        <v>10000</v>
      </c>
      <c r="D6" s="10" t="n">
        <v>25000</v>
      </c>
      <c r="E6" s="14" t="n">
        <v>0.44</v>
      </c>
      <c r="F6" s="10" t="inlineStr">
        <is>
          <t>USD</t>
        </is>
      </c>
      <c r="G6" s="10" t="inlineStr">
        <is>
          <t>per bottle (USD)</t>
        </is>
      </c>
    </row>
    <row r="7">
      <c r="A7" s="10" t="inlineStr">
        <is>
          <t>4 oz Amber Boston Round Glass Bottle with Silver Cap (BRA4S)</t>
        </is>
      </c>
      <c r="B7" s="10" t="inlineStr">
        <is>
          <t>Specialty Bottle</t>
        </is>
      </c>
      <c r="C7" s="10" t="n">
        <v>1</v>
      </c>
      <c r="D7" s="10" t="n">
        <v>127</v>
      </c>
      <c r="E7" s="14" t="n">
        <v>0.6899999999999999</v>
      </c>
      <c r="F7" s="10" t="inlineStr">
        <is>
          <t>USD</t>
        </is>
      </c>
      <c r="G7" s="10" t="inlineStr">
        <is>
          <t>per bottle (USD)</t>
        </is>
      </c>
    </row>
    <row r="8">
      <c r="A8" s="10" t="inlineStr">
        <is>
          <t>4 oz Amber Boston Round Glass Bottle with Silver Cap (BRA4S)</t>
        </is>
      </c>
      <c r="B8" s="10" t="inlineStr">
        <is>
          <t>Specialty Bottle</t>
        </is>
      </c>
      <c r="C8" s="10" t="n">
        <v>128</v>
      </c>
      <c r="D8" s="10" t="n">
        <v>999</v>
      </c>
      <c r="E8" s="14" t="n">
        <v>0.64</v>
      </c>
      <c r="F8" s="10" t="inlineStr">
        <is>
          <t>USD</t>
        </is>
      </c>
      <c r="G8" s="10" t="inlineStr">
        <is>
          <t>per bottle (USD)</t>
        </is>
      </c>
    </row>
    <row r="9">
      <c r="A9" s="10" t="inlineStr">
        <is>
          <t>4 oz Amber Boston Round Glass Bottle with Silver Cap (BRA4S)</t>
        </is>
      </c>
      <c r="B9" s="10" t="inlineStr">
        <is>
          <t>Specialty Bottle</t>
        </is>
      </c>
      <c r="C9" s="10" t="n">
        <v>1000</v>
      </c>
      <c r="D9" s="10" t="n">
        <v>4999</v>
      </c>
      <c r="E9" s="14" t="n">
        <v>0.58</v>
      </c>
      <c r="F9" s="10" t="inlineStr">
        <is>
          <t>USD</t>
        </is>
      </c>
      <c r="G9" s="10" t="inlineStr">
        <is>
          <t>per bottle (USD)</t>
        </is>
      </c>
    </row>
    <row r="10">
      <c r="A10" s="10" t="inlineStr">
        <is>
          <t>4 oz Amber Boston Round Glass Bottle with Silver Cap (BRA4S)</t>
        </is>
      </c>
      <c r="B10" s="10" t="inlineStr">
        <is>
          <t>Specialty Bottle</t>
        </is>
      </c>
      <c r="C10" s="10" t="n">
        <v>5000</v>
      </c>
      <c r="D10" s="10" t="n">
        <v>9999</v>
      </c>
      <c r="E10" s="14" t="n">
        <v>0.52</v>
      </c>
      <c r="F10" s="10" t="inlineStr">
        <is>
          <t>USD</t>
        </is>
      </c>
      <c r="G10" s="10" t="inlineStr">
        <is>
          <t>per bottle (USD)</t>
        </is>
      </c>
    </row>
    <row r="11">
      <c r="A11" s="10" t="inlineStr">
        <is>
          <t>4 oz Amber Boston Round Glass Bottle with Silver Cap (BRA4S)</t>
        </is>
      </c>
      <c r="B11" s="10" t="inlineStr">
        <is>
          <t>Specialty Bottle</t>
        </is>
      </c>
      <c r="C11" s="10" t="n">
        <v>10000</v>
      </c>
      <c r="D11" s="10" t="n">
        <v>25000</v>
      </c>
      <c r="E11" s="14" t="n">
        <v>0.46</v>
      </c>
      <c r="F11" s="10" t="inlineStr">
        <is>
          <t>USD</t>
        </is>
      </c>
      <c r="G11" s="10" t="inlineStr">
        <is>
          <t>per bottle (USD)</t>
        </is>
      </c>
    </row>
    <row r="12">
      <c r="A12" s="10" t="inlineStr">
        <is>
          <t>8 oz Amber Boston Round Glass Bottle with Black Cap (BRA8)</t>
        </is>
      </c>
      <c r="B12" s="10" t="inlineStr">
        <is>
          <t>Specialty Bottle</t>
        </is>
      </c>
      <c r="C12" s="10" t="n">
        <v>1</v>
      </c>
      <c r="D12" s="10" t="n">
        <v>191</v>
      </c>
      <c r="E12" s="14" t="n">
        <v>1.7</v>
      </c>
      <c r="F12" s="10" t="inlineStr">
        <is>
          <t>USD</t>
        </is>
      </c>
      <c r="G12" s="10" t="inlineStr">
        <is>
          <t>per bottle (USD)</t>
        </is>
      </c>
    </row>
    <row r="13">
      <c r="A13" s="10" t="inlineStr">
        <is>
          <t>8 oz Amber Boston Round Glass Bottle with Black Cap (BRA8)</t>
        </is>
      </c>
      <c r="B13" s="10" t="inlineStr">
        <is>
          <t>Specialty Bottle</t>
        </is>
      </c>
      <c r="C13" s="10" t="n">
        <v>192</v>
      </c>
      <c r="D13" s="10" t="n">
        <v>999</v>
      </c>
      <c r="E13" s="14" t="n">
        <v>1.47</v>
      </c>
      <c r="F13" s="10" t="inlineStr">
        <is>
          <t>USD</t>
        </is>
      </c>
      <c r="G13" s="10" t="inlineStr">
        <is>
          <t>per bottle (USD)</t>
        </is>
      </c>
    </row>
    <row r="14">
      <c r="A14" s="10" t="inlineStr">
        <is>
          <t>8 oz Amber Boston Round Glass Bottle with Black Cap (BRA8)</t>
        </is>
      </c>
      <c r="B14" s="10" t="inlineStr">
        <is>
          <t>Specialty Bottle</t>
        </is>
      </c>
      <c r="C14" s="10" t="n">
        <v>1000</v>
      </c>
      <c r="D14" s="10" t="n">
        <v>4999</v>
      </c>
      <c r="E14" s="14" t="n">
        <v>0.98</v>
      </c>
      <c r="F14" s="10" t="inlineStr">
        <is>
          <t>USD</t>
        </is>
      </c>
      <c r="G14" s="10" t="inlineStr">
        <is>
          <t>per bottle (USD)</t>
        </is>
      </c>
    </row>
    <row r="15">
      <c r="A15" s="10" t="inlineStr">
        <is>
          <t>8 oz Amber Boston Round Glass Bottle with Black Cap (BRA8)</t>
        </is>
      </c>
      <c r="B15" s="10" t="inlineStr">
        <is>
          <t>Specialty Bottle</t>
        </is>
      </c>
      <c r="C15" s="10" t="n">
        <v>5000</v>
      </c>
      <c r="D15" s="10" t="n">
        <v>10000</v>
      </c>
      <c r="E15" s="14" t="n">
        <v>0.87</v>
      </c>
      <c r="F15" s="10" t="inlineStr">
        <is>
          <t>USD</t>
        </is>
      </c>
      <c r="G15" s="10" t="inlineStr">
        <is>
          <t>per bottle (USD)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12" customWidth="1" min="4" max="4"/>
    <col width="50" customWidth="1" min="5" max="5"/>
    <col width="12" customWidth="1" min="6" max="6"/>
    <col width="60" customWidth="1" min="7" max="7"/>
  </cols>
  <sheetData>
    <row r="1" ht="30" customHeight="1">
      <c r="A1" s="7" t="inlineStr">
        <is>
          <t>Supplier</t>
        </is>
      </c>
      <c r="B1" s="7" t="inlineStr">
        <is>
          <t>Platform</t>
        </is>
      </c>
      <c r="C1" s="7" t="inlineStr">
        <is>
          <t>Score</t>
        </is>
      </c>
      <c r="D1" s="7" t="inlineStr">
        <is>
          <t>Reviewed</t>
        </is>
      </c>
      <c r="E1" s="7" t="inlineStr">
        <is>
          <t>Review page</t>
        </is>
      </c>
      <c r="F1" s="7" t="inlineStr">
        <is>
          <t>Captured</t>
        </is>
      </c>
      <c r="G1" s="7" t="inlineStr">
        <is>
          <t>Summary</t>
        </is>
      </c>
    </row>
    <row r="2">
      <c r="A2" s="10" t="inlineStr">
        <is>
          <t>Berlin Packaging</t>
        </is>
      </c>
      <c r="B2" s="10" t="inlineStr">
        <is>
          <t>Trustpilot</t>
        </is>
      </c>
      <c r="C2" s="10" t="n">
        <v>4.4</v>
      </c>
      <c r="D2" s="10" t="inlineStr">
        <is>
          <t>2026-10-03</t>
        </is>
      </c>
      <c r="E2" s="11" t="inlineStr">
        <is>
          <t>https://www.trustpilot.com/review/berlinpackaging.com</t>
        </is>
      </c>
      <c r="F2" s="10" t="inlineStr">
        <is>
          <t>2026-10-03</t>
        </is>
      </c>
      <c r="G2" s="15" t="n"/>
    </row>
    <row r="3">
      <c r="A3" s="10" t="inlineStr">
        <is>
          <t>BottleStore.com (O.Berk Company)</t>
        </is>
      </c>
      <c r="B3" s="10" t="inlineStr">
        <is>
          <t>Trustpilot</t>
        </is>
      </c>
      <c r="C3" s="10" t="n">
        <v>4.4</v>
      </c>
      <c r="D3" s="10" t="inlineStr">
        <is>
          <t>2026-09-21</t>
        </is>
      </c>
      <c r="E3" s="11" t="inlineStr">
        <is>
          <t>https://www.trustpilot.com/review/bottlestore.com</t>
        </is>
      </c>
      <c r="F3" s="10" t="inlineStr">
        <is>
          <t>2026-09-21</t>
        </is>
      </c>
      <c r="G3" s="15" t="n"/>
    </row>
    <row r="4">
      <c r="A4" s="10" t="inlineStr">
        <is>
          <t>Burch Bottle &amp; Packaging, Inc.</t>
        </is>
      </c>
      <c r="B4" s="10" t="inlineStr">
        <is>
          <t>Trustpilot</t>
        </is>
      </c>
      <c r="C4" s="10" t="n">
        <v>4.8</v>
      </c>
      <c r="D4" s="10" t="inlineStr">
        <is>
          <t>2026-09-21</t>
        </is>
      </c>
      <c r="E4" s="11" t="inlineStr">
        <is>
          <t>https://www.trustpilot.com/review/www.burchbottle.com</t>
        </is>
      </c>
      <c r="F4" s="10" t="inlineStr">
        <is>
          <t>2026-09-21</t>
        </is>
      </c>
      <c r="G4" s="15" t="n"/>
    </row>
    <row r="5">
      <c r="A5" s="10" t="inlineStr">
        <is>
          <t>Container &amp; Packaging</t>
        </is>
      </c>
      <c r="B5" s="10" t="inlineStr">
        <is>
          <t>Trustpilot</t>
        </is>
      </c>
      <c r="C5" s="10" t="n">
        <v>4.8</v>
      </c>
      <c r="D5" s="10" t="inlineStr">
        <is>
          <t>2026-09-18</t>
        </is>
      </c>
      <c r="E5" s="11" t="inlineStr">
        <is>
          <t>https://www.trustpilot.com/review/www.containerandpackaging.com</t>
        </is>
      </c>
      <c r="F5" s="10" t="inlineStr">
        <is>
          <t>2026-09-18</t>
        </is>
      </c>
      <c r="G5" s="15" t="n"/>
    </row>
    <row r="6">
      <c r="A6" s="10" t="inlineStr">
        <is>
          <t>Custom Boxes Now</t>
        </is>
      </c>
      <c r="B6" s="10" t="inlineStr">
        <is>
          <t>Trustpilot</t>
        </is>
      </c>
      <c r="C6" s="10" t="n">
        <v>4.8</v>
      </c>
      <c r="D6" s="10" t="inlineStr">
        <is>
          <t>2026-09-21</t>
        </is>
      </c>
      <c r="E6" s="11" t="inlineStr">
        <is>
          <t>https://uk.trustpilot.com/review/customboxesnow.com</t>
        </is>
      </c>
      <c r="F6" s="10" t="inlineStr">
        <is>
          <t>2026-09-21</t>
        </is>
      </c>
      <c r="G6" s="15" t="n"/>
    </row>
    <row r="7">
      <c r="A7" s="10" t="inlineStr">
        <is>
          <t>EcoEnclose</t>
        </is>
      </c>
      <c r="B7" s="10" t="inlineStr">
        <is>
          <t>Trustpilot</t>
        </is>
      </c>
      <c r="C7" s="10" t="n">
        <v>4.5</v>
      </c>
      <c r="D7" s="10" t="inlineStr">
        <is>
          <t>2026-09-21</t>
        </is>
      </c>
      <c r="E7" s="11" t="inlineStr">
        <is>
          <t>https://www.trustpilot.com/review/ecoenclose.com</t>
        </is>
      </c>
      <c r="F7" s="10" t="inlineStr">
        <is>
          <t>2026-09-21</t>
        </is>
      </c>
      <c r="G7" s="15" t="n"/>
    </row>
    <row r="8">
      <c r="A8" s="10" t="inlineStr">
        <is>
          <t>Paper Mart</t>
        </is>
      </c>
      <c r="B8" s="10" t="inlineStr">
        <is>
          <t>Trustpilot</t>
        </is>
      </c>
      <c r="C8" s="10" t="n">
        <v>4.7</v>
      </c>
      <c r="D8" s="10" t="inlineStr">
        <is>
          <t>2026-09-21</t>
        </is>
      </c>
      <c r="E8" s="11" t="inlineStr">
        <is>
          <t>https://www.trustpilot.com/review/www.papermart.com</t>
        </is>
      </c>
      <c r="F8" s="10" t="inlineStr">
        <is>
          <t>2026-09-21</t>
        </is>
      </c>
      <c r="G8" s="15" t="n"/>
    </row>
    <row r="9">
      <c r="A9" s="10" t="inlineStr">
        <is>
          <t>SKS Bottle &amp; Packaging</t>
        </is>
      </c>
      <c r="B9" s="10" t="inlineStr">
        <is>
          <t>Trustpilot</t>
        </is>
      </c>
      <c r="C9" s="10" t="n">
        <v>4.3</v>
      </c>
      <c r="D9" s="10" t="inlineStr">
        <is>
          <t>2026-09-18</t>
        </is>
      </c>
      <c r="E9" s="11" t="inlineStr">
        <is>
          <t>https://www.trustpilot.com/review/www.sks-bottle.com</t>
        </is>
      </c>
      <c r="F9" s="10" t="inlineStr">
        <is>
          <t>2026-09-18</t>
        </is>
      </c>
      <c r="G9" s="15" t="n"/>
    </row>
    <row r="10">
      <c r="A10" s="10" t="inlineStr">
        <is>
          <t>Specialty Bottle</t>
        </is>
      </c>
      <c r="B10" s="10" t="inlineStr">
        <is>
          <t>Trustpilot</t>
        </is>
      </c>
      <c r="C10" s="10" t="n">
        <v>3.8</v>
      </c>
      <c r="D10" s="10" t="inlineStr">
        <is>
          <t>2026-09-21</t>
        </is>
      </c>
      <c r="E10" s="11" t="inlineStr">
        <is>
          <t>https://www.trustpilot.com/review/specialtybottle.com</t>
        </is>
      </c>
      <c r="F10" s="10" t="inlineStr">
        <is>
          <t>2026-09-21</t>
        </is>
      </c>
      <c r="G10" s="15" t="n"/>
    </row>
    <row r="11">
      <c r="A11" s="10" t="inlineStr">
        <is>
          <t>Sticker Mule</t>
        </is>
      </c>
      <c r="B11" s="10" t="inlineStr">
        <is>
          <t>Trustpilot</t>
        </is>
      </c>
      <c r="C11" s="10" t="n">
        <v>4.7</v>
      </c>
      <c r="D11" s="10" t="inlineStr">
        <is>
          <t>2026-09-21</t>
        </is>
      </c>
      <c r="E11" s="11" t="inlineStr">
        <is>
          <t>https://www.trustpilot.com/review/stickermule.com</t>
        </is>
      </c>
      <c r="F11" s="10" t="inlineStr">
        <is>
          <t>2026-09-21</t>
        </is>
      </c>
      <c r="G11" s="15" t="n"/>
    </row>
    <row r="12">
      <c r="A12" s="10" t="inlineStr">
        <is>
          <t>StickerApp</t>
        </is>
      </c>
      <c r="B12" s="10" t="inlineStr">
        <is>
          <t>Trustpilot</t>
        </is>
      </c>
      <c r="C12" s="10" t="n">
        <v>4.7</v>
      </c>
      <c r="D12" s="10" t="inlineStr">
        <is>
          <t>2026-09-21</t>
        </is>
      </c>
      <c r="E12" s="11" t="inlineStr">
        <is>
          <t>https://www.trustpilot.com/review/stickerapp.com</t>
        </is>
      </c>
      <c r="F12" s="10" t="inlineStr">
        <is>
          <t>2026-09-21</t>
        </is>
      </c>
      <c r="G12" s="15" t="n"/>
    </row>
    <row r="13">
      <c r="A13" s="10" t="inlineStr">
        <is>
          <t>TricorBraun</t>
        </is>
      </c>
      <c r="B13" s="10" t="inlineStr">
        <is>
          <t>Trustpilot</t>
        </is>
      </c>
      <c r="C13" s="10" t="n">
        <v>4.7</v>
      </c>
      <c r="D13" s="10" t="inlineStr">
        <is>
          <t>2026-09-18</t>
        </is>
      </c>
      <c r="E13" s="11" t="inlineStr">
        <is>
          <t>https://www.trustpilot.com/review/tricorbraun.com</t>
        </is>
      </c>
      <c r="F13" s="10" t="inlineStr">
        <is>
          <t>2026-09-18</t>
        </is>
      </c>
      <c r="G13" s="15" t="n"/>
    </row>
  </sheetData>
  <autoFilter ref="A1:G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  <col width="12" customWidth="1" min="4" max="4"/>
  </cols>
  <sheetData>
    <row r="1" ht="30" customHeight="1">
      <c r="A1" s="7" t="inlineStr">
        <is>
          <t>Supplier</t>
        </is>
      </c>
      <c r="B1" s="7" t="inlineStr">
        <is>
          <t>Certification</t>
        </is>
      </c>
      <c r="C1" s="7" t="inlineStr">
        <is>
          <t>Source</t>
        </is>
      </c>
      <c r="D1" s="7" t="inlineStr">
        <is>
          <t>Captured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40" customWidth="1" min="4" max="4"/>
    <col width="12" customWidth="1" min="5" max="5"/>
  </cols>
  <sheetData>
    <row r="1" ht="30" customHeight="1">
      <c r="A1" s="7" t="inlineStr">
        <is>
          <t>Supplier</t>
        </is>
      </c>
      <c r="B1" s="7" t="inlineStr">
        <is>
          <t>Slug</t>
        </is>
      </c>
      <c r="C1" s="7" t="inlineStr">
        <is>
          <t>Location</t>
        </is>
      </c>
      <c r="D1" s="7" t="inlineStr">
        <is>
          <t>Website</t>
        </is>
      </c>
      <c r="E1" s="7" t="inlineStr">
        <is>
          <t>Listings (hidden)</t>
        </is>
      </c>
    </row>
    <row r="2">
      <c r="A2" s="10" t="inlineStr">
        <is>
          <t>BOWE PACK</t>
        </is>
      </c>
      <c r="B2" s="10" t="inlineStr">
        <is>
          <t>bowe-pack</t>
        </is>
      </c>
      <c r="C2" s="10" t="inlineStr">
        <is>
          <t>China</t>
        </is>
      </c>
      <c r="D2" s="11" t="inlineStr">
        <is>
          <t>https://bowepack.com</t>
        </is>
      </c>
      <c r="E2" s="10" t="n">
        <v>0</v>
      </c>
    </row>
    <row r="3">
      <c r="A3" s="10" t="inlineStr">
        <is>
          <t>CXPACK (Shenzhen Chengxing Packing &amp; Material)</t>
        </is>
      </c>
      <c r="B3" s="10" t="inlineStr">
        <is>
          <t>cxpack</t>
        </is>
      </c>
      <c r="C3" s="10" t="inlineStr">
        <is>
          <t>China</t>
        </is>
      </c>
      <c r="D3" s="11" t="inlineStr">
        <is>
          <t>https://www.cxpack.com</t>
        </is>
      </c>
      <c r="E3" s="10" t="n">
        <v>3</v>
      </c>
    </row>
    <row r="4">
      <c r="A4" s="10" t="inlineStr">
        <is>
          <t>Cambay Foodservice Packaging (Cambay Technopack Pvt. Ltd.)</t>
        </is>
      </c>
      <c r="B4" s="10" t="inlineStr">
        <is>
          <t>cambay-foodservice</t>
        </is>
      </c>
      <c r="C4" s="10" t="inlineStr">
        <is>
          <t>India</t>
        </is>
      </c>
      <c r="D4" s="11" t="inlineStr">
        <is>
          <t>https://www.cambay.co.in</t>
        </is>
      </c>
      <c r="E4" s="10" t="n">
        <v>0</v>
      </c>
    </row>
    <row r="5">
      <c r="A5" s="10" t="inlineStr">
        <is>
          <t>Cangzhou Yunfeng Packaging Products Co., Ltd.</t>
        </is>
      </c>
      <c r="B5" s="10" t="inlineStr">
        <is>
          <t>cangzhou-yunfeng</t>
        </is>
      </c>
      <c r="C5" s="10" t="inlineStr">
        <is>
          <t>China</t>
        </is>
      </c>
      <c r="D5" s="11" t="inlineStr">
        <is>
          <t>https://www.yunfengpackaging.com</t>
        </is>
      </c>
      <c r="E5" s="10" t="n">
        <v>3</v>
      </c>
    </row>
    <row r="6">
      <c r="A6" s="10" t="inlineStr">
        <is>
          <t>Carton Service</t>
        </is>
      </c>
      <c r="B6" s="10" t="inlineStr">
        <is>
          <t>carton-service</t>
        </is>
      </c>
      <c r="C6" s="10" t="inlineStr">
        <is>
          <t>EU (France)</t>
        </is>
      </c>
      <c r="D6" s="11" t="inlineStr">
        <is>
          <t>https://www.cartonservice.fr</t>
        </is>
      </c>
      <c r="E6" s="10" t="n">
        <v>3</v>
      </c>
    </row>
    <row r="7">
      <c r="A7" s="10" t="inlineStr">
        <is>
          <t>Davpack</t>
        </is>
      </c>
      <c r="B7" s="10" t="inlineStr">
        <is>
          <t>davpack</t>
        </is>
      </c>
      <c r="C7" s="10" t="inlineStr">
        <is>
          <t>UK</t>
        </is>
      </c>
      <c r="D7" s="11" t="inlineStr">
        <is>
          <t>https://www.davpack.co.uk</t>
        </is>
      </c>
      <c r="E7" s="10" t="n">
        <v>3</v>
      </c>
    </row>
    <row r="8">
      <c r="A8" s="10" t="inlineStr">
        <is>
          <t>DinoLabelDigital</t>
        </is>
      </c>
      <c r="B8" s="10" t="inlineStr">
        <is>
          <t>dinolabel-digital</t>
        </is>
      </c>
      <c r="C8" s="10" t="inlineStr">
        <is>
          <t>India</t>
        </is>
      </c>
      <c r="D8" s="11" t="inlineStr">
        <is>
          <t>https://dinolabeldigital.com</t>
        </is>
      </c>
      <c r="E8" s="10" t="n">
        <v>3</v>
      </c>
    </row>
    <row r="9">
      <c r="A9" s="10" t="inlineStr">
        <is>
          <t>Glory Tins Co., Ltd.</t>
        </is>
      </c>
      <c r="B9" s="10" t="inlineStr">
        <is>
          <t>glory-tins</t>
        </is>
      </c>
      <c r="C9" s="10" t="inlineStr">
        <is>
          <t>China</t>
        </is>
      </c>
      <c r="D9" s="11" t="inlineStr">
        <is>
          <t>https://glorytins.com</t>
        </is>
      </c>
      <c r="E9" s="10" t="n">
        <v>0</v>
      </c>
    </row>
    <row r="10">
      <c r="A10" s="10" t="inlineStr">
        <is>
          <t>Kite Packaging</t>
        </is>
      </c>
      <c r="B10" s="10" t="inlineStr">
        <is>
          <t>kite-packaging</t>
        </is>
      </c>
      <c r="C10" s="10" t="inlineStr">
        <is>
          <t>UK</t>
        </is>
      </c>
      <c r="D10" s="11" t="inlineStr">
        <is>
          <t>https://www.kitepackaging.co.uk</t>
        </is>
      </c>
      <c r="E10" s="10" t="n">
        <v>0</v>
      </c>
    </row>
    <row r="11">
      <c r="A11" s="10" t="inlineStr">
        <is>
          <t>Lil Packaging</t>
        </is>
      </c>
      <c r="B11" s="10" t="inlineStr">
        <is>
          <t>lil-packaging</t>
        </is>
      </c>
      <c r="C11" s="10" t="inlineStr">
        <is>
          <t>UK</t>
        </is>
      </c>
      <c r="D11" s="11" t="inlineStr">
        <is>
          <t>https://lilpackaging.com</t>
        </is>
      </c>
      <c r="E11" s="10" t="n">
        <v>2</v>
      </c>
    </row>
    <row r="12">
      <c r="A12" s="10" t="inlineStr">
        <is>
          <t>Macfarlane Packaging</t>
        </is>
      </c>
      <c r="B12" s="10" t="inlineStr">
        <is>
          <t>macfarlane-packaging</t>
        </is>
      </c>
      <c r="C12" s="10" t="inlineStr">
        <is>
          <t>UK</t>
        </is>
      </c>
      <c r="D12" s="11" t="inlineStr">
        <is>
          <t>https://www.macfarlanepackaging.com</t>
        </is>
      </c>
      <c r="E12" s="10" t="n">
        <v>0</v>
      </c>
    </row>
    <row r="13">
      <c r="A13" s="10" t="inlineStr">
        <is>
          <t>Maruthi Plastics</t>
        </is>
      </c>
      <c r="B13" s="10" t="inlineStr">
        <is>
          <t>maruthi-plastics</t>
        </is>
      </c>
      <c r="C13" s="10" t="inlineStr">
        <is>
          <t>India</t>
        </is>
      </c>
      <c r="D13" s="11" t="inlineStr">
        <is>
          <t>https://maruthiplastics.in</t>
        </is>
      </c>
      <c r="E13" s="10" t="n">
        <v>3</v>
      </c>
    </row>
    <row r="14">
      <c r="A14" s="10" t="inlineStr">
        <is>
          <t>Packhelp</t>
        </is>
      </c>
      <c r="B14" s="10" t="inlineStr">
        <is>
          <t>packhelp</t>
        </is>
      </c>
      <c r="C14" s="10" t="inlineStr">
        <is>
          <t>EU (Poland)</t>
        </is>
      </c>
      <c r="D14" s="11" t="inlineStr">
        <is>
          <t>https://packhelp.com</t>
        </is>
      </c>
      <c r="E14" s="10" t="n">
        <v>0</v>
      </c>
    </row>
    <row r="15">
      <c r="A15" s="10" t="inlineStr">
        <is>
          <t>Packiro</t>
        </is>
      </c>
      <c r="B15" s="10" t="inlineStr">
        <is>
          <t>packiro</t>
        </is>
      </c>
      <c r="C15" s="10" t="inlineStr">
        <is>
          <t>EU (Germany)</t>
        </is>
      </c>
      <c r="D15" s="11" t="inlineStr">
        <is>
          <t>https://packiro.com/en</t>
        </is>
      </c>
      <c r="E15" s="10" t="n">
        <v>0</v>
      </c>
    </row>
    <row r="16">
      <c r="A16" s="10" t="inlineStr">
        <is>
          <t>Paharpur 3P</t>
        </is>
      </c>
      <c r="B16" s="10" t="inlineStr">
        <is>
          <t>paharpur-3p</t>
        </is>
      </c>
      <c r="C16" s="10" t="inlineStr">
        <is>
          <t>India</t>
        </is>
      </c>
      <c r="D16" s="11" t="inlineStr">
        <is>
          <t>https://www.paharpur3p.com</t>
        </is>
      </c>
      <c r="E16" s="10" t="n">
        <v>0</v>
      </c>
    </row>
    <row r="17">
      <c r="A17" s="10" t="inlineStr">
        <is>
          <t>Polybags Ltd</t>
        </is>
      </c>
      <c r="B17" s="10" t="inlineStr">
        <is>
          <t>polybags-ltd</t>
        </is>
      </c>
      <c r="C17" s="10" t="inlineStr">
        <is>
          <t>UK</t>
        </is>
      </c>
      <c r="D17" s="11" t="inlineStr">
        <is>
          <t>https://www.polybags.co.uk</t>
        </is>
      </c>
      <c r="E17" s="10" t="n">
        <v>3</v>
      </c>
    </row>
    <row r="18">
      <c r="A18" s="10" t="inlineStr">
        <is>
          <t>Reuseabox</t>
        </is>
      </c>
      <c r="B18" s="10" t="inlineStr">
        <is>
          <t>reuseabox</t>
        </is>
      </c>
      <c r="C18" s="10" t="inlineStr">
        <is>
          <t>UK</t>
        </is>
      </c>
      <c r="D18" s="11" t="inlineStr">
        <is>
          <t>https://www.reuseabox.co.uk</t>
        </is>
      </c>
      <c r="E18" s="10" t="n">
        <v>3</v>
      </c>
    </row>
    <row r="19">
      <c r="A19" s="10" t="inlineStr">
        <is>
          <t>Swiss Pac Pvt. Ltd. (Swisspac India)</t>
        </is>
      </c>
      <c r="B19" s="10" t="inlineStr">
        <is>
          <t>swiss-pac</t>
        </is>
      </c>
      <c r="C19" s="10" t="inlineStr">
        <is>
          <t>India</t>
        </is>
      </c>
      <c r="D19" s="11" t="inlineStr">
        <is>
          <t>https://www.swisspack.co.in</t>
        </is>
      </c>
      <c r="E19" s="10" t="n">
        <v>3</v>
      </c>
    </row>
    <row r="20">
      <c r="A20" s="10" t="inlineStr">
        <is>
          <t>TCPL Packaging Limited</t>
        </is>
      </c>
      <c r="B20" s="10" t="inlineStr">
        <is>
          <t>tcpl-packaging</t>
        </is>
      </c>
      <c r="C20" s="10" t="inlineStr">
        <is>
          <t>India</t>
        </is>
      </c>
      <c r="D20" s="11" t="inlineStr">
        <is>
          <t>https://www.tcpl.in</t>
        </is>
      </c>
      <c r="E20" s="10" t="n">
        <v>0</v>
      </c>
    </row>
    <row r="21">
      <c r="A21" s="10" t="inlineStr">
        <is>
          <t>Transpack</t>
        </is>
      </c>
      <c r="B21" s="10" t="inlineStr">
        <is>
          <t>transpack</t>
        </is>
      </c>
      <c r="C21" s="10" t="inlineStr">
        <is>
          <t>UK</t>
        </is>
      </c>
      <c r="D21" s="11" t="inlineStr">
        <is>
          <t>https://www.transpack.co.uk</t>
        </is>
      </c>
      <c r="E21" s="10" t="n">
        <v>3</v>
      </c>
    </row>
    <row r="22">
      <c r="A22" s="10" t="inlineStr">
        <is>
          <t>UFlex Limited</t>
        </is>
      </c>
      <c r="B22" s="10" t="inlineStr">
        <is>
          <t>uflex</t>
        </is>
      </c>
      <c r="C22" s="10" t="inlineStr">
        <is>
          <t>India</t>
        </is>
      </c>
      <c r="D22" s="11" t="inlineStr">
        <is>
          <t>https://www.uflexltd.com</t>
        </is>
      </c>
      <c r="E22" s="10" t="n">
        <v>0</v>
      </c>
    </row>
    <row r="23">
      <c r="A23" s="10" t="inlineStr">
        <is>
          <t>VIV Verpakkingsindustrie Veenendaal</t>
        </is>
      </c>
      <c r="B23" s="10" t="inlineStr">
        <is>
          <t>viv-verpakkingsindustrie</t>
        </is>
      </c>
      <c r="C23" s="10" t="inlineStr">
        <is>
          <t>EU (Netherlands)</t>
        </is>
      </c>
      <c r="D23" s="11" t="inlineStr">
        <is>
          <t>https://webshop.viv.nl</t>
        </is>
      </c>
      <c r="E23" s="10" t="n">
        <v>1</v>
      </c>
    </row>
    <row r="24">
      <c r="A24" s="10" t="inlineStr">
        <is>
          <t>verpacking.com</t>
        </is>
      </c>
      <c r="B24" s="10" t="inlineStr">
        <is>
          <t>verpacking</t>
        </is>
      </c>
      <c r="C24" s="10" t="inlineStr">
        <is>
          <t>EU (Germany)</t>
        </is>
      </c>
      <c r="D24" s="11" t="inlineStr">
        <is>
          <t>https://www.verpacking.com</t>
        </is>
      </c>
      <c r="E24" s="10" t="n">
        <v>3</v>
      </c>
    </row>
  </sheetData>
  <autoFilter ref="A1:E2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2026-10-12T14:25:01Z</dcterms:created>
  <dcterms:modified xmlns:dcterms="http://purl.org/dc/terms/" xmlns:xsi="http://www.w3.org/2001/XMLSchema-instance" xsi:type="dcterms:W3CDTF">2026-10-12T14:25:19Z</dcterms:modified>
</cp:coreProperties>
</file>